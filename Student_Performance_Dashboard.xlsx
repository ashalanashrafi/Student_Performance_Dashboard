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Muskan Sayeed\Downloads\"/>
    </mc:Choice>
  </mc:AlternateContent>
  <xr:revisionPtr revIDLastSave="0" documentId="13_ncr:1_{3D54939E-59BF-4ABC-8DF6-958E93B0F9C7}" xr6:coauthVersionLast="47" xr6:coauthVersionMax="47" xr10:uidLastSave="{00000000-0000-0000-0000-000000000000}"/>
  <bookViews>
    <workbookView xWindow="-120" yWindow="-120" windowWidth="20640" windowHeight="11040" firstSheet="1" activeTab="5" xr2:uid="{ECBAEACA-1649-48DA-9A19-6C8F278582CB}"/>
  </bookViews>
  <sheets>
    <sheet name="Marks Data" sheetId="2" r:id="rId1"/>
    <sheet name="Formula Creation" sheetId="1" r:id="rId2"/>
    <sheet name="Analysis Data" sheetId="9" r:id="rId3"/>
    <sheet name="Pivot Summary" sheetId="4" r:id="rId4"/>
    <sheet name="Dashboard" sheetId="5" r:id="rId5"/>
    <sheet name=" Printable Marksheet" sheetId="7" r:id="rId6"/>
  </sheets>
  <definedNames>
    <definedName name="ExternalData_1" localSheetId="2" hidden="1">'Analysis Data'!$A$1:$I$151</definedName>
    <definedName name="_xlnm.Print_Area" localSheetId="5">' Printable Marksheet'!$A$3:$B$17</definedName>
    <definedName name="Slicer_Course">#N/A</definedName>
    <definedName name="Slicer_Grade">#N/A</definedName>
    <definedName name="Slicer_Status">#N/A</definedName>
    <definedName name="Slicer_Subject">#N/A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7" l="1"/>
  <c r="B17" i="7"/>
  <c r="B16" i="7"/>
  <c r="B15" i="7"/>
  <c r="B14" i="7"/>
  <c r="B13" i="7"/>
  <c r="B12" i="7"/>
  <c r="B11" i="7"/>
  <c r="B10" i="7"/>
  <c r="B9" i="7"/>
  <c r="B8" i="7"/>
  <c r="B7" i="7"/>
  <c r="I6" i="5"/>
  <c r="G6" i="5"/>
  <c r="E6" i="5"/>
  <c r="C6" i="5"/>
  <c r="N4" i="1"/>
  <c r="O4" i="1" s="1"/>
  <c r="P4" i="1" s="1"/>
  <c r="N5" i="1"/>
  <c r="O5" i="1" s="1"/>
  <c r="P5" i="1" s="1"/>
  <c r="N6" i="1"/>
  <c r="O6" i="1" s="1"/>
  <c r="P6" i="1" s="1"/>
  <c r="N7" i="1"/>
  <c r="O7" i="1" s="1"/>
  <c r="P7" i="1" s="1"/>
  <c r="N8" i="1"/>
  <c r="O8" i="1" s="1"/>
  <c r="P8" i="1" s="1"/>
  <c r="N9" i="1"/>
  <c r="O9" i="1" s="1"/>
  <c r="P9" i="1" s="1"/>
  <c r="N10" i="1"/>
  <c r="O10" i="1" s="1"/>
  <c r="P10" i="1" s="1"/>
  <c r="N11" i="1"/>
  <c r="O11" i="1" s="1"/>
  <c r="P11" i="1" s="1"/>
  <c r="N12" i="1"/>
  <c r="O12" i="1" s="1"/>
  <c r="P12" i="1" s="1"/>
  <c r="N13" i="1"/>
  <c r="O13" i="1" s="1"/>
  <c r="P13" i="1" s="1"/>
  <c r="N14" i="1"/>
  <c r="O14" i="1" s="1"/>
  <c r="P14" i="1" s="1"/>
  <c r="N15" i="1"/>
  <c r="O15" i="1" s="1"/>
  <c r="P15" i="1" s="1"/>
  <c r="N16" i="1"/>
  <c r="O16" i="1" s="1"/>
  <c r="P16" i="1" s="1"/>
  <c r="N17" i="1"/>
  <c r="O17" i="1" s="1"/>
  <c r="P17" i="1" s="1"/>
  <c r="N18" i="1"/>
  <c r="O18" i="1" s="1"/>
  <c r="P18" i="1" s="1"/>
  <c r="N19" i="1"/>
  <c r="O19" i="1" s="1"/>
  <c r="P19" i="1" s="1"/>
  <c r="N20" i="1"/>
  <c r="O20" i="1" s="1"/>
  <c r="P20" i="1" s="1"/>
  <c r="N21" i="1"/>
  <c r="O21" i="1" s="1"/>
  <c r="P21" i="1" s="1"/>
  <c r="N22" i="1"/>
  <c r="O22" i="1" s="1"/>
  <c r="P22" i="1" s="1"/>
  <c r="N23" i="1"/>
  <c r="O23" i="1" s="1"/>
  <c r="P23" i="1" s="1"/>
  <c r="N24" i="1"/>
  <c r="O24" i="1" s="1"/>
  <c r="P24" i="1" s="1"/>
  <c r="N25" i="1"/>
  <c r="O25" i="1" s="1"/>
  <c r="P25" i="1" s="1"/>
  <c r="N26" i="1"/>
  <c r="O26" i="1" s="1"/>
  <c r="P26" i="1" s="1"/>
  <c r="N27" i="1"/>
  <c r="O27" i="1" s="1"/>
  <c r="P27" i="1" s="1"/>
  <c r="N28" i="1"/>
  <c r="O28" i="1" s="1"/>
  <c r="P28" i="1" s="1"/>
  <c r="N29" i="1"/>
  <c r="O29" i="1" s="1"/>
  <c r="P29" i="1" s="1"/>
  <c r="N30" i="1"/>
  <c r="O30" i="1" s="1"/>
  <c r="P30" i="1" s="1"/>
  <c r="N31" i="1"/>
  <c r="O31" i="1" s="1"/>
  <c r="P31" i="1" s="1"/>
  <c r="N32" i="1"/>
  <c r="O32" i="1" s="1"/>
  <c r="P32" i="1" s="1"/>
  <c r="N33" i="1"/>
  <c r="O33" i="1" s="1"/>
  <c r="P33" i="1" s="1"/>
  <c r="Q33" i="1" l="1"/>
  <c r="Q30" i="1"/>
  <c r="Q17" i="1"/>
  <c r="Q14" i="1"/>
  <c r="Q27" i="1"/>
  <c r="Q10" i="1"/>
  <c r="Q19" i="1"/>
  <c r="Q11" i="1"/>
  <c r="Q26" i="1"/>
  <c r="Q9" i="1"/>
  <c r="Q22" i="1"/>
  <c r="Q6" i="1"/>
  <c r="Q18" i="1"/>
  <c r="Q25" i="1"/>
  <c r="Q32" i="1"/>
  <c r="Q24" i="1"/>
  <c r="Q16" i="1"/>
  <c r="Q8" i="1"/>
  <c r="Q31" i="1"/>
  <c r="Q23" i="1"/>
  <c r="Q15" i="1"/>
  <c r="Q7" i="1"/>
  <c r="Q29" i="1"/>
  <c r="Q21" i="1"/>
  <c r="Q13" i="1"/>
  <c r="Q5" i="1"/>
  <c r="Q28" i="1"/>
  <c r="Q20" i="1"/>
  <c r="Q12" i="1"/>
  <c r="Q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C44AFC-B3E5-4EF2-A79E-578F77740A80}" keepAlive="1" name="Query - Marksheet_Table" description="Connection to the 'Marksheet_Table' query in the workbook." type="5" refreshedVersion="8" background="1" saveData="1">
    <dbPr connection="Provider=Microsoft.Mashup.OleDb.1;Data Source=$Workbook$;Location=Marksheet_Table;Extended Properties=&quot;&quot;" command="SELECT * FROM [Marksheet_Table]"/>
  </connection>
</connections>
</file>

<file path=xl/sharedStrings.xml><?xml version="1.0" encoding="utf-8"?>
<sst xmlns="http://schemas.openxmlformats.org/spreadsheetml/2006/main" count="967" uniqueCount="78">
  <si>
    <t>Roll No</t>
  </si>
  <si>
    <t>Student Name</t>
  </si>
  <si>
    <t>Aarav Kumar</t>
  </si>
  <si>
    <t>BBA-1</t>
  </si>
  <si>
    <t>Ananya Sharma</t>
  </si>
  <si>
    <t>Rohan Verma</t>
  </si>
  <si>
    <t>Priya Singh</t>
  </si>
  <si>
    <t>Aditya Kumar</t>
  </si>
  <si>
    <t>Neha Kumari</t>
  </si>
  <si>
    <t>Rahul Raj</t>
  </si>
  <si>
    <t>Sneha Gupta</t>
  </si>
  <si>
    <t>Arjun Singh</t>
  </si>
  <si>
    <t>Pooja Kumari</t>
  </si>
  <si>
    <t>Aman Sharma</t>
  </si>
  <si>
    <t>BBA-2</t>
  </si>
  <si>
    <t>Kajal Kumari</t>
  </si>
  <si>
    <t>Vivek Kumar</t>
  </si>
  <si>
    <t>Riya Singh</t>
  </si>
  <si>
    <t>Deepak Raj</t>
  </si>
  <si>
    <t>Simran Kaur</t>
  </si>
  <si>
    <t>Mohit Kumar</t>
  </si>
  <si>
    <t>Shreya Sharma</t>
  </si>
  <si>
    <t>Ravi Kumar</t>
  </si>
  <si>
    <t>Nikita Singh</t>
  </si>
  <si>
    <t>Sahil Kumar</t>
  </si>
  <si>
    <t>BBA-3</t>
  </si>
  <si>
    <t>Komal Kumari</t>
  </si>
  <si>
    <t>Rajesh Singh</t>
  </si>
  <si>
    <t>Divya Sharma</t>
  </si>
  <si>
    <t>Manish Kumar</t>
  </si>
  <si>
    <t>Anjali Kumari</t>
  </si>
  <si>
    <t>Akash Raj</t>
  </si>
  <si>
    <t>Tanya Singh</t>
  </si>
  <si>
    <t>Karan Kumar</t>
  </si>
  <si>
    <t>Meera Sharma</t>
  </si>
  <si>
    <t>Course</t>
  </si>
  <si>
    <t>Business English</t>
  </si>
  <si>
    <t>Business Math</t>
  </si>
  <si>
    <t>IT for Business</t>
  </si>
  <si>
    <t>Business Economics</t>
  </si>
  <si>
    <t>Business Finance</t>
  </si>
  <si>
    <t xml:space="preserve">Total Marks  </t>
  </si>
  <si>
    <t>Grade</t>
  </si>
  <si>
    <t>Status</t>
  </si>
  <si>
    <t>Percentage %</t>
  </si>
  <si>
    <t>Row Labels</t>
  </si>
  <si>
    <t>Grand Total</t>
  </si>
  <si>
    <t>Average of Percentage %</t>
  </si>
  <si>
    <t>Subject</t>
  </si>
  <si>
    <t>Marks</t>
  </si>
  <si>
    <t>A</t>
  </si>
  <si>
    <t>Pass</t>
  </si>
  <si>
    <t>A+</t>
  </si>
  <si>
    <t>B</t>
  </si>
  <si>
    <t>D</t>
  </si>
  <si>
    <t>F</t>
  </si>
  <si>
    <t>Fail</t>
  </si>
  <si>
    <t>C</t>
  </si>
  <si>
    <t>Average of Marks</t>
  </si>
  <si>
    <t>Count of Roll No</t>
  </si>
  <si>
    <t>Class Performance Analysis</t>
  </si>
  <si>
    <t>Subject-wise Average Marks</t>
  </si>
  <si>
    <t>Grade Distribution</t>
  </si>
  <si>
    <t>Top 5 Students</t>
  </si>
  <si>
    <t>Pass / Fail Analysis</t>
  </si>
  <si>
    <t>STUDENT PERFORMANCE DASHBOARD</t>
  </si>
  <si>
    <t>Academic Performance Analysis</t>
  </si>
  <si>
    <t>TOTAL STUDENTS</t>
  </si>
  <si>
    <t>PASSED STUDENTS</t>
  </si>
  <si>
    <t>FAILED STUDENTS</t>
  </si>
  <si>
    <t>AVERAGE PERCENTAGE</t>
  </si>
  <si>
    <t>TOP 5 STUDENTS</t>
  </si>
  <si>
    <t>Stuident Name</t>
  </si>
  <si>
    <t>Percentage</t>
  </si>
  <si>
    <t>STUDENT MARKSHEET</t>
  </si>
  <si>
    <t>Select Roll No:</t>
  </si>
  <si>
    <t>Class</t>
  </si>
  <si>
    <t>Total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</si>
</sst>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4"/>
      <color theme="1"/>
      <name val="Calibri"/>
      <family val="2"/>
      <scheme val="minor"/>
    </font>
    <font>
      <b/>
      <sz val="12"/>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0"/>
      <name val="Calibri"/>
      <family val="2"/>
      <scheme val="minor"/>
    </font>
    <font>
      <b/>
      <sz val="20"/>
      <color theme="1"/>
      <name val="Calibri"/>
      <family val="2"/>
      <scheme val="minor"/>
    </font>
    <font>
      <b/>
      <sz val="18"/>
      <color theme="0"/>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4"/>
        <bgColor indexed="64"/>
      </patternFill>
    </fill>
    <fill>
      <patternFill patternType="solid">
        <fgColor theme="1" tint="0.34998626667073579"/>
        <bgColor indexed="64"/>
      </patternFill>
    </fill>
    <fill>
      <patternFill patternType="solid">
        <fgColor theme="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1"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cellStyleXfs>
  <cellXfs count="49">
    <xf numFmtId="0" fontId="0" fillId="0" borderId="0" xfId="0"/>
    <xf numFmtId="0" fontId="0" fillId="0" borderId="1" xfId="0"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0" borderId="5" xfId="0"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164" fontId="0" fillId="0" borderId="0" xfId="0" applyNumberFormat="1"/>
    <xf numFmtId="0" fontId="0" fillId="0" borderId="0" xfId="0" pivotButton="1" applyAlignment="1">
      <alignment horizontal="center"/>
    </xf>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xf>
    <xf numFmtId="0" fontId="0" fillId="0" borderId="0" xfId="0" applyAlignment="1">
      <alignment vertical="center" wrapText="1"/>
    </xf>
    <xf numFmtId="0" fontId="3" fillId="0" borderId="0" xfId="0" applyFont="1" applyAlignment="1">
      <alignment vertical="center" wrapText="1"/>
    </xf>
    <xf numFmtId="2" fontId="0" fillId="3" borderId="1" xfId="0" applyNumberFormat="1" applyFill="1" applyBorder="1" applyAlignment="1">
      <alignment horizontal="center"/>
    </xf>
    <xf numFmtId="2" fontId="0" fillId="3" borderId="8" xfId="0" applyNumberFormat="1" applyFill="1" applyBorder="1" applyAlignment="1">
      <alignment horizontal="center"/>
    </xf>
    <xf numFmtId="0" fontId="3" fillId="0" borderId="10" xfId="0" applyFont="1" applyBorder="1"/>
    <xf numFmtId="0" fontId="3" fillId="0" borderId="12" xfId="0" applyFont="1" applyBorder="1" applyAlignment="1">
      <alignment horizontal="center"/>
    </xf>
    <xf numFmtId="0" fontId="3" fillId="3" borderId="1" xfId="0" applyFont="1" applyFill="1" applyBorder="1" applyAlignment="1">
      <alignment horizontal="left" vertical="top" wrapText="1"/>
    </xf>
    <xf numFmtId="0" fontId="0" fillId="0" borderId="0" xfId="0" pivotButton="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6" fillId="4" borderId="0" xfId="0" applyFont="1" applyFill="1" applyAlignment="1">
      <alignment horizontal="center"/>
    </xf>
    <xf numFmtId="0" fontId="6" fillId="5" borderId="0" xfId="0" applyFont="1" applyFill="1" applyAlignment="1">
      <alignment horizontal="center"/>
    </xf>
    <xf numFmtId="0" fontId="6" fillId="5" borderId="0" xfId="0" applyFont="1" applyFill="1" applyAlignment="1">
      <alignment horizontal="center" vertical="center"/>
    </xf>
    <xf numFmtId="0" fontId="5" fillId="10" borderId="1" xfId="0" applyFont="1" applyFill="1" applyBorder="1" applyAlignment="1">
      <alignment horizontal="center"/>
    </xf>
    <xf numFmtId="164" fontId="5" fillId="10" borderId="1" xfId="0" applyNumberFormat="1" applyFont="1" applyFill="1" applyBorder="1" applyAlignment="1">
      <alignment horizontal="center"/>
    </xf>
    <xf numFmtId="0" fontId="3" fillId="9" borderId="1" xfId="0" applyFont="1" applyFill="1" applyBorder="1" applyAlignment="1">
      <alignment horizontal="center"/>
    </xf>
    <xf numFmtId="164" fontId="4" fillId="7" borderId="1" xfId="0" applyNumberFormat="1" applyFont="1" applyFill="1" applyBorder="1" applyAlignment="1">
      <alignment horizontal="center"/>
    </xf>
    <xf numFmtId="0" fontId="7" fillId="8" borderId="3" xfId="0" applyFont="1" applyFill="1" applyBorder="1" applyAlignment="1">
      <alignment horizontal="center"/>
    </xf>
    <xf numFmtId="0" fontId="7" fillId="8" borderId="14" xfId="0" applyFont="1" applyFill="1" applyBorder="1" applyAlignment="1">
      <alignment horizontal="center"/>
    </xf>
    <xf numFmtId="0" fontId="7" fillId="8" borderId="2" xfId="0" applyFont="1" applyFill="1" applyBorder="1" applyAlignment="1">
      <alignment horizontal="center"/>
    </xf>
    <xf numFmtId="0" fontId="0" fillId="8" borderId="3" xfId="0" applyFill="1" applyBorder="1" applyAlignment="1">
      <alignment horizontal="center"/>
    </xf>
    <xf numFmtId="0" fontId="0" fillId="8" borderId="14" xfId="0" applyFill="1" applyBorder="1" applyAlignment="1">
      <alignment horizontal="center"/>
    </xf>
    <xf numFmtId="0" fontId="0" fillId="8" borderId="2" xfId="0" applyFill="1" applyBorder="1" applyAlignment="1">
      <alignment horizontal="center"/>
    </xf>
    <xf numFmtId="0" fontId="4" fillId="7" borderId="1" xfId="0" applyFont="1" applyFill="1" applyBorder="1" applyAlignment="1">
      <alignment horizontal="center"/>
    </xf>
    <xf numFmtId="0" fontId="5" fillId="6" borderId="13" xfId="0" applyFont="1" applyFill="1" applyBorder="1" applyAlignment="1">
      <alignment horizontal="center"/>
    </xf>
    <xf numFmtId="0" fontId="5" fillId="6" borderId="0" xfId="0" applyFont="1" applyFill="1" applyAlignment="1">
      <alignment horizontal="center"/>
    </xf>
    <xf numFmtId="0" fontId="8" fillId="11" borderId="8" xfId="0" applyFont="1" applyFill="1" applyBorder="1" applyAlignment="1">
      <alignment horizontal="center" vertical="center" wrapText="1"/>
    </xf>
    <xf numFmtId="0" fontId="0" fillId="0" borderId="6" xfId="0" applyBorder="1" applyAlignment="1">
      <alignment horizontal="center"/>
    </xf>
    <xf numFmtId="0" fontId="0" fillId="0" borderId="4" xfId="0" applyBorder="1" applyAlignment="1">
      <alignment horizontal="center"/>
    </xf>
  </cellXfs>
  <cellStyles count="1">
    <cellStyle name="Normal" xfId="0" builtinId="0"/>
  </cellStyles>
  <dxfs count="69">
    <dxf>
      <font>
        <color theme="0"/>
      </font>
      <fill>
        <patternFill>
          <bgColor rgb="FF008000"/>
        </patternFill>
      </fill>
    </dxf>
    <dxf>
      <fill>
        <patternFill>
          <bgColor rgb="FFFF0000"/>
        </patternFill>
      </fill>
    </dxf>
    <dxf>
      <font>
        <color rgb="FF006100"/>
      </font>
      <fill>
        <patternFill>
          <bgColor rgb="FF66FF66"/>
        </patternFill>
      </fill>
    </dxf>
    <dxf>
      <fill>
        <patternFill>
          <bgColor rgb="FF00FFFF"/>
        </patternFill>
      </fill>
    </dxf>
    <dxf>
      <fill>
        <patternFill>
          <bgColor rgb="FFFFFF00"/>
        </patternFill>
      </fill>
    </dxf>
    <dxf>
      <fill>
        <patternFill>
          <bgColor theme="5"/>
        </patternFill>
      </fill>
    </dxf>
    <dxf>
      <fill>
        <patternFill>
          <bgColor rgb="FFFF0000"/>
        </patternFill>
      </fill>
    </dxf>
    <dxf>
      <font>
        <color theme="0"/>
      </font>
      <fill>
        <patternFill>
          <bgColor rgb="FF008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colors>
    <mruColors>
      <color rgb="FF008000"/>
      <color rgb="FF66FF66"/>
      <color rgb="FFFCD8BA"/>
      <color rgb="FFBDF9D8"/>
      <color rgb="FF00FF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 Summary!ptSubjectPerformance</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Subject-wise Average Marks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Summary'!$E$11</c:f>
              <c:strCache>
                <c:ptCount val="1"/>
                <c:pt idx="0">
                  <c:v>Total</c:v>
                </c:pt>
              </c:strCache>
            </c:strRef>
          </c:tx>
          <c:spPr>
            <a:solidFill>
              <a:schemeClr val="accent2"/>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Summary'!$D$12:$D$17</c:f>
              <c:strCache>
                <c:ptCount val="5"/>
                <c:pt idx="0">
                  <c:v>Business Economics</c:v>
                </c:pt>
                <c:pt idx="1">
                  <c:v>Business English</c:v>
                </c:pt>
                <c:pt idx="2">
                  <c:v>Business Finance</c:v>
                </c:pt>
                <c:pt idx="3">
                  <c:v>Business Math</c:v>
                </c:pt>
                <c:pt idx="4">
                  <c:v>IT for Business</c:v>
                </c:pt>
              </c:strCache>
            </c:strRef>
          </c:cat>
          <c:val>
            <c:numRef>
              <c:f>'Pivot Summary'!$E$12:$E$17</c:f>
              <c:numCache>
                <c:formatCode>0.0</c:formatCode>
                <c:ptCount val="5"/>
                <c:pt idx="0">
                  <c:v>70.666666666666671</c:v>
                </c:pt>
                <c:pt idx="1">
                  <c:v>68.666666666666671</c:v>
                </c:pt>
                <c:pt idx="2">
                  <c:v>70.36666666666666</c:v>
                </c:pt>
                <c:pt idx="3">
                  <c:v>70.466666666666669</c:v>
                </c:pt>
                <c:pt idx="4">
                  <c:v>72.166666666666671</c:v>
                </c:pt>
              </c:numCache>
            </c:numRef>
          </c:val>
          <c:extLst>
            <c:ext xmlns:c16="http://schemas.microsoft.com/office/drawing/2014/chart" uri="{C3380CC4-5D6E-409C-BE32-E72D297353CC}">
              <c16:uniqueId val="{00000000-1E18-4E47-A034-7FC8AD757AF6}"/>
            </c:ext>
          </c:extLst>
        </c:ser>
        <c:dLbls>
          <c:dLblPos val="outEnd"/>
          <c:showLegendKey val="0"/>
          <c:showVal val="1"/>
          <c:showCatName val="0"/>
          <c:showSerName val="0"/>
          <c:showPercent val="0"/>
          <c:showBubbleSize val="0"/>
        </c:dLbls>
        <c:gapWidth val="315"/>
        <c:overlap val="-40"/>
        <c:axId val="866641104"/>
        <c:axId val="467152112"/>
      </c:barChart>
      <c:catAx>
        <c:axId val="866641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7152112"/>
        <c:crosses val="autoZero"/>
        <c:auto val="1"/>
        <c:lblAlgn val="ctr"/>
        <c:lblOffset val="100"/>
        <c:noMultiLvlLbl val="0"/>
      </c:catAx>
      <c:valAx>
        <c:axId val="467152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664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 Summary!ptGradedistribution</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Grade Distribution</a:t>
            </a:r>
          </a:p>
        </c:rich>
      </c:tx>
      <c:layout>
        <c:manualLayout>
          <c:xMode val="edge"/>
          <c:yMode val="edge"/>
          <c:x val="0.18059412215658566"/>
          <c:y val="2.2575885011328511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256491593695607"/>
          <c:y val="0.17974511207284843"/>
          <c:w val="0.50284321429657453"/>
          <c:h val="0.76330086133636144"/>
        </c:manualLayout>
      </c:layout>
      <c:doughnutChart>
        <c:varyColors val="1"/>
        <c:ser>
          <c:idx val="0"/>
          <c:order val="0"/>
          <c:tx>
            <c:strRef>
              <c:f>'Pivot Summary'!$E$20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94-4FFF-BB8C-6D22EFBA30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94-4FFF-BB8C-6D22EFBA30E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94-4FFF-BB8C-6D22EFBA30E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94-4FFF-BB8C-6D22EFBA30E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394-4FFF-BB8C-6D22EFBA30E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394-4FFF-BB8C-6D22EFBA3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Summary'!$D$21:$D$27</c:f>
              <c:strCache>
                <c:ptCount val="6"/>
                <c:pt idx="0">
                  <c:v>A</c:v>
                </c:pt>
                <c:pt idx="1">
                  <c:v>A+</c:v>
                </c:pt>
                <c:pt idx="2">
                  <c:v>B</c:v>
                </c:pt>
                <c:pt idx="3">
                  <c:v>C</c:v>
                </c:pt>
                <c:pt idx="4">
                  <c:v>D</c:v>
                </c:pt>
                <c:pt idx="5">
                  <c:v>F</c:v>
                </c:pt>
              </c:strCache>
            </c:strRef>
          </c:cat>
          <c:val>
            <c:numRef>
              <c:f>'Pivot Summary'!$E$21:$E$27</c:f>
              <c:numCache>
                <c:formatCode>General</c:formatCode>
                <c:ptCount val="6"/>
                <c:pt idx="0">
                  <c:v>5</c:v>
                </c:pt>
                <c:pt idx="1">
                  <c:v>5</c:v>
                </c:pt>
                <c:pt idx="2">
                  <c:v>6</c:v>
                </c:pt>
                <c:pt idx="3">
                  <c:v>4</c:v>
                </c:pt>
                <c:pt idx="4">
                  <c:v>5</c:v>
                </c:pt>
                <c:pt idx="5">
                  <c:v>5</c:v>
                </c:pt>
              </c:numCache>
            </c:numRef>
          </c:val>
          <c:extLst>
            <c:ext xmlns:c16="http://schemas.microsoft.com/office/drawing/2014/chart" uri="{C3380CC4-5D6E-409C-BE32-E72D297353CC}">
              <c16:uniqueId val="{0000000C-2394-4FFF-BB8C-6D22EFBA30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 Summary!ptClassPerformance</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Class-wise Average Percentage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Summary'!$D$4:$D$7</c:f>
              <c:strCache>
                <c:ptCount val="3"/>
                <c:pt idx="0">
                  <c:v>BBA-1</c:v>
                </c:pt>
                <c:pt idx="1">
                  <c:v>BBA-2</c:v>
                </c:pt>
                <c:pt idx="2">
                  <c:v>BBA-3</c:v>
                </c:pt>
              </c:strCache>
            </c:strRef>
          </c:cat>
          <c:val>
            <c:numRef>
              <c:f>'Pivot Summary'!$E$4:$E$7</c:f>
              <c:numCache>
                <c:formatCode>0.0</c:formatCode>
                <c:ptCount val="3"/>
                <c:pt idx="0">
                  <c:v>69.2</c:v>
                </c:pt>
                <c:pt idx="1">
                  <c:v>71.260000000000005</c:v>
                </c:pt>
                <c:pt idx="2">
                  <c:v>70.94</c:v>
                </c:pt>
              </c:numCache>
            </c:numRef>
          </c:val>
          <c:extLst>
            <c:ext xmlns:c16="http://schemas.microsoft.com/office/drawing/2014/chart" uri="{C3380CC4-5D6E-409C-BE32-E72D297353CC}">
              <c16:uniqueId val="{00000000-A348-4078-A8A6-2BA625F6B996}"/>
            </c:ext>
          </c:extLst>
        </c:ser>
        <c:dLbls>
          <c:dLblPos val="outEnd"/>
          <c:showLegendKey val="0"/>
          <c:showVal val="1"/>
          <c:showCatName val="0"/>
          <c:showSerName val="0"/>
          <c:showPercent val="0"/>
          <c:showBubbleSize val="0"/>
        </c:dLbls>
        <c:gapWidth val="115"/>
        <c:overlap val="-20"/>
        <c:axId val="866733440"/>
        <c:axId val="867123664"/>
      </c:barChart>
      <c:catAx>
        <c:axId val="866733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123664"/>
        <c:crosses val="autoZero"/>
        <c:auto val="1"/>
        <c:lblAlgn val="ctr"/>
        <c:lblOffset val="100"/>
        <c:noMultiLvlLbl val="0"/>
      </c:catAx>
      <c:valAx>
        <c:axId val="867123664"/>
        <c:scaling>
          <c:orientation val="minMax"/>
        </c:scaling>
        <c:delete val="0"/>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673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6</xdr:row>
      <xdr:rowOff>3401</xdr:rowOff>
    </xdr:from>
    <xdr:to>
      <xdr:col>5</xdr:col>
      <xdr:colOff>1301183</xdr:colOff>
      <xdr:row>17</xdr:row>
      <xdr:rowOff>8504</xdr:rowOff>
    </xdr:to>
    <xdr:graphicFrame macro="">
      <xdr:nvGraphicFramePr>
        <xdr:cNvPr id="2" name="Chart 1">
          <a:extLst>
            <a:ext uri="{FF2B5EF4-FFF2-40B4-BE49-F238E27FC236}">
              <a16:creationId xmlns:a16="http://schemas.microsoft.com/office/drawing/2014/main" id="{CB322005-7E85-431A-B2E3-3809D5513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663009</xdr:colOff>
      <xdr:row>6</xdr:row>
      <xdr:rowOff>6576</xdr:rowOff>
    </xdr:from>
    <xdr:to>
      <xdr:col>10</xdr:col>
      <xdr:colOff>12212</xdr:colOff>
      <xdr:row>17</xdr:row>
      <xdr:rowOff>12212</xdr:rowOff>
    </xdr:to>
    <xdr:graphicFrame macro="">
      <xdr:nvGraphicFramePr>
        <xdr:cNvPr id="3" name="Chart 2">
          <a:extLst>
            <a:ext uri="{FF2B5EF4-FFF2-40B4-BE49-F238E27FC236}">
              <a16:creationId xmlns:a16="http://schemas.microsoft.com/office/drawing/2014/main" id="{8871340A-FBCF-4E45-9F3A-6E9C99843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8506</xdr:colOff>
      <xdr:row>17</xdr:row>
      <xdr:rowOff>0</xdr:rowOff>
    </xdr:from>
    <xdr:to>
      <xdr:col>10</xdr:col>
      <xdr:colOff>0</xdr:colOff>
      <xdr:row>28</xdr:row>
      <xdr:rowOff>8986</xdr:rowOff>
    </xdr:to>
    <xdr:graphicFrame macro="">
      <xdr:nvGraphicFramePr>
        <xdr:cNvPr id="4" name="Chart 3">
          <a:extLst>
            <a:ext uri="{FF2B5EF4-FFF2-40B4-BE49-F238E27FC236}">
              <a16:creationId xmlns:a16="http://schemas.microsoft.com/office/drawing/2014/main" id="{269CF2A1-5835-4FE3-BDB9-E1D45ABA9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1360715</xdr:colOff>
      <xdr:row>2</xdr:row>
      <xdr:rowOff>10468</xdr:rowOff>
    </xdr:from>
    <xdr:to>
      <xdr:col>2</xdr:col>
      <xdr:colOff>18004</xdr:colOff>
      <xdr:row>7</xdr:row>
      <xdr:rowOff>160048</xdr:rowOff>
    </xdr:to>
    <mc:AlternateContent xmlns:mc="http://schemas.openxmlformats.org/markup-compatibility/2006" xmlns:a14="http://schemas.microsoft.com/office/drawing/2010/main">
      <mc:Choice Requires="a14">
        <xdr:graphicFrame macro="">
          <xdr:nvGraphicFramePr>
            <xdr:cNvPr id="5" name="Course">
              <a:extLst>
                <a:ext uri="{FF2B5EF4-FFF2-40B4-BE49-F238E27FC236}">
                  <a16:creationId xmlns:a16="http://schemas.microsoft.com/office/drawing/2014/main" id="{915D07BD-3443-449F-B9CB-685F422D9ECE}"/>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360715" y="402674"/>
              <a:ext cx="1822951" cy="1312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1344706</xdr:colOff>
      <xdr:row>8</xdr:row>
      <xdr:rowOff>126066</xdr:rowOff>
    </xdr:from>
    <xdr:to>
      <xdr:col>2</xdr:col>
      <xdr:colOff>7844</xdr:colOff>
      <xdr:row>13</xdr:row>
      <xdr:rowOff>182096</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9C9BEBE2-9954-4552-9D42-A25EA8A6442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44706" y="1736912"/>
              <a:ext cx="1828800" cy="1036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1351221</xdr:colOff>
      <xdr:row>13</xdr:row>
      <xdr:rowOff>177210</xdr:rowOff>
    </xdr:from>
    <xdr:to>
      <xdr:col>2</xdr:col>
      <xdr:colOff>1329</xdr:colOff>
      <xdr:row>24</xdr:row>
      <xdr:rowOff>121832</xdr:rowOff>
    </xdr:to>
    <mc:AlternateContent xmlns:mc="http://schemas.openxmlformats.org/markup-compatibility/2006" xmlns:a14="http://schemas.microsoft.com/office/drawing/2010/main">
      <mc:Choice Requires="a14">
        <xdr:graphicFrame macro="">
          <xdr:nvGraphicFramePr>
            <xdr:cNvPr id="7" name="Grade">
              <a:extLst>
                <a:ext uri="{FF2B5EF4-FFF2-40B4-BE49-F238E27FC236}">
                  <a16:creationId xmlns:a16="http://schemas.microsoft.com/office/drawing/2014/main" id="{DC887B58-95AA-4084-A2F0-4CE45DD3DF4C}"/>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351221" y="2860085"/>
              <a:ext cx="1825108" cy="2040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1362296</xdr:colOff>
      <xdr:row>24</xdr:row>
      <xdr:rowOff>132908</xdr:rowOff>
    </xdr:from>
    <xdr:to>
      <xdr:col>2</xdr:col>
      <xdr:colOff>12404</xdr:colOff>
      <xdr:row>35</xdr:row>
      <xdr:rowOff>0</xdr:rowOff>
    </xdr:to>
    <mc:AlternateContent xmlns:mc="http://schemas.openxmlformats.org/markup-compatibility/2006" xmlns:a14="http://schemas.microsoft.com/office/drawing/2010/main">
      <mc:Choice Requires="a14">
        <xdr:graphicFrame macro="">
          <xdr:nvGraphicFramePr>
            <xdr:cNvPr id="8" name="Subject">
              <a:extLst>
                <a:ext uri="{FF2B5EF4-FFF2-40B4-BE49-F238E27FC236}">
                  <a16:creationId xmlns:a16="http://schemas.microsoft.com/office/drawing/2014/main" id="{62E0E171-C35B-4A30-A36E-85CE2A56AFD6}"/>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362296" y="4911283"/>
              <a:ext cx="1825108" cy="2010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Sayeed" refreshedDate="46244.846633449073" createdVersion="8" refreshedVersion="8" minRefreshableVersion="3" recordCount="30" xr:uid="{8EC06C34-137F-464A-8D59-8E18CA4AF8E3}">
  <cacheSource type="worksheet">
    <worksheetSource name="Marksheet_Table"/>
  </cacheSource>
  <cacheFields count="12">
    <cacheField name="Roll No" numFmtId="0">
      <sharedItems containsSemiMixedTypes="0" containsString="0" containsNumber="1" containsInteger="1" minValue="101" maxValue="130"/>
    </cacheField>
    <cacheField name="Student Name" numFmtId="0">
      <sharedItems count="30">
        <s v="Aarav Kumar"/>
        <s v="Ananya Sharma"/>
        <s v="Rohan Verma"/>
        <s v="Priya Singh"/>
        <s v="Aditya Kumar"/>
        <s v="Neha Kumari"/>
        <s v="Rahul Raj"/>
        <s v="Sneha Gupta"/>
        <s v="Arjun Singh"/>
        <s v="Pooja Kumari"/>
        <s v="Aman Sharma"/>
        <s v="Kajal Kumari"/>
        <s v="Vivek Kumar"/>
        <s v="Riya Singh"/>
        <s v="Deepak Raj"/>
        <s v="Simran Kaur"/>
        <s v="Mohit Kumar"/>
        <s v="Shreya Sharma"/>
        <s v="Ravi Kumar"/>
        <s v="Nikita Singh"/>
        <s v="Sahil Kumar"/>
        <s v="Komal Kumari"/>
        <s v="Rajesh Singh"/>
        <s v="Divya Sharma"/>
        <s v="Manish Kumar"/>
        <s v="Anjali Kumari"/>
        <s v="Akash Raj"/>
        <s v="Tanya Singh"/>
        <s v="Karan Kumar"/>
        <s v="Meera Sharma"/>
      </sharedItems>
    </cacheField>
    <cacheField name="Course" numFmtId="0">
      <sharedItems count="3">
        <s v="BBA-1"/>
        <s v="BBA-2"/>
        <s v="BBA-3"/>
      </sharedItems>
    </cacheField>
    <cacheField name="Business English" numFmtId="0">
      <sharedItems containsSemiMixedTypes="0" containsString="0" containsNumber="1" containsInteger="1" minValue="32" maxValue="98"/>
    </cacheField>
    <cacheField name="Business Math" numFmtId="0">
      <sharedItems containsSemiMixedTypes="0" containsString="0" containsNumber="1" containsInteger="1" minValue="31" maxValue="96" count="29">
        <n v="76"/>
        <n v="94"/>
        <n v="72"/>
        <n v="61"/>
        <n v="49"/>
        <n v="81"/>
        <n v="38"/>
        <n v="92"/>
        <n v="65"/>
        <n v="54"/>
        <n v="79"/>
        <n v="77"/>
        <n v="52"/>
        <n v="89"/>
        <n v="69"/>
        <n v="86"/>
        <n v="42"/>
        <n v="74"/>
        <n v="58"/>
        <n v="91"/>
        <n v="82"/>
        <n v="67"/>
        <n v="45"/>
        <n v="96"/>
        <n v="63"/>
        <n v="88"/>
        <n v="31"/>
        <n v="78"/>
        <n v="71"/>
      </sharedItems>
    </cacheField>
    <cacheField name="Business Finance" numFmtId="0">
      <sharedItems containsSemiMixedTypes="0" containsString="0" containsNumber="1" containsInteger="1" minValue="35" maxValue="98"/>
    </cacheField>
    <cacheField name="IT for Business" numFmtId="0">
      <sharedItems containsSemiMixedTypes="0" containsString="0" containsNumber="1" containsInteger="1" minValue="35" maxValue="99"/>
    </cacheField>
    <cacheField name="Business Economics" numFmtId="0">
      <sharedItems containsSemiMixedTypes="0" containsString="0" containsNumber="1" containsInteger="1" minValue="33" maxValue="97"/>
    </cacheField>
    <cacheField name="Total Marks  " numFmtId="0">
      <sharedItems containsSemiMixedTypes="0" containsString="0" containsNumber="1" containsInteger="1" minValue="177" maxValue="482"/>
    </cacheField>
    <cacheField name="Percentage %" numFmtId="164">
      <sharedItems containsSemiMixedTypes="0" containsString="0" containsNumber="1" minValue="35.4" maxValue="96.399999999999991"/>
    </cacheField>
    <cacheField name="Grade" numFmtId="0">
      <sharedItems count="6">
        <s v="A"/>
        <s v="A+"/>
        <s v="B"/>
        <s v="D"/>
        <s v="F"/>
        <s v="C"/>
      </sharedItems>
    </cacheField>
    <cacheField name="Status" numFmtId="0">
      <sharedItems count="2">
        <s v="Pass"/>
        <s v="Fail"/>
      </sharedItems>
    </cacheField>
  </cacheFields>
  <extLst>
    <ext xmlns:x14="http://schemas.microsoft.com/office/spreadsheetml/2009/9/main" uri="{725AE2AE-9491-48be-B2B4-4EB974FC3084}">
      <x14:pivotCacheDefinition pivotCacheId="12108066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Sayeed" refreshedDate="46245.680147685183" createdVersion="8" refreshedVersion="8" minRefreshableVersion="3" recordCount="150" xr:uid="{7CB160AF-EBB6-4DF6-8A5C-DAE5F816C164}">
  <cacheSource type="worksheet">
    <worksheetSource name="Marksheet_Table_1"/>
  </cacheSource>
  <cacheFields count="9">
    <cacheField name="Roll No" numFmtId="0">
      <sharedItems containsSemiMixedTypes="0" containsString="0" containsNumber="1" containsInteger="1" minValue="101" maxValue="130"/>
    </cacheField>
    <cacheField name="Student Name" numFmtId="0">
      <sharedItems/>
    </cacheField>
    <cacheField name="Course" numFmtId="0">
      <sharedItems/>
    </cacheField>
    <cacheField name="Total Marks  " numFmtId="0">
      <sharedItems containsSemiMixedTypes="0" containsString="0" containsNumber="1" containsInteger="1" minValue="177" maxValue="482"/>
    </cacheField>
    <cacheField name="Percentage %" numFmtId="0">
      <sharedItems containsSemiMixedTypes="0" containsString="0" containsNumber="1" minValue="35.4" maxValue="96.399999999999991"/>
    </cacheField>
    <cacheField name="Grade" numFmtId="0">
      <sharedItems/>
    </cacheField>
    <cacheField name="Status" numFmtId="0">
      <sharedItems/>
    </cacheField>
    <cacheField name="Subject" numFmtId="0">
      <sharedItems count="5">
        <s v="Business English"/>
        <s v="Business Math"/>
        <s v="Business Finance"/>
        <s v="IT for Business"/>
        <s v="Business Economics"/>
      </sharedItems>
    </cacheField>
    <cacheField name="Marks" numFmtId="0">
      <sharedItems containsSemiMixedTypes="0" containsString="0" containsNumber="1" containsInteger="1" minValue="31" maxValue="99"/>
    </cacheField>
  </cacheFields>
  <extLst>
    <ext xmlns:x14="http://schemas.microsoft.com/office/spreadsheetml/2009/9/main" uri="{725AE2AE-9491-48be-B2B4-4EB974FC3084}">
      <x14:pivotCacheDefinition pivotCacheId="464230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1"/>
    <x v="0"/>
    <x v="0"/>
    <n v="93"/>
    <x v="0"/>
    <n v="98"/>
    <n v="91"/>
    <n v="79"/>
    <n v="437"/>
    <n v="87.4"/>
    <x v="0"/>
    <x v="0"/>
  </r>
  <r>
    <n v="102"/>
    <x v="1"/>
    <x v="0"/>
    <n v="91"/>
    <x v="1"/>
    <n v="89"/>
    <n v="96"/>
    <n v="87"/>
    <n v="457"/>
    <n v="91.4"/>
    <x v="1"/>
    <x v="0"/>
  </r>
  <r>
    <n v="103"/>
    <x v="2"/>
    <x v="0"/>
    <n v="68"/>
    <x v="2"/>
    <n v="75"/>
    <n v="70"/>
    <n v="66"/>
    <n v="351"/>
    <n v="70.199999999999989"/>
    <x v="2"/>
    <x v="0"/>
  </r>
  <r>
    <n v="104"/>
    <x v="3"/>
    <x v="0"/>
    <n v="55"/>
    <x v="3"/>
    <n v="58"/>
    <n v="64"/>
    <n v="60"/>
    <n v="298"/>
    <n v="59.599999999999994"/>
    <x v="3"/>
    <x v="0"/>
  </r>
  <r>
    <n v="105"/>
    <x v="4"/>
    <x v="0"/>
    <n v="43"/>
    <x v="4"/>
    <n v="52"/>
    <n v="46"/>
    <n v="55"/>
    <n v="245"/>
    <n v="49"/>
    <x v="4"/>
    <x v="1"/>
  </r>
  <r>
    <n v="106"/>
    <x v="5"/>
    <x v="0"/>
    <n v="78"/>
    <x v="5"/>
    <n v="74"/>
    <n v="85"/>
    <n v="80"/>
    <n v="398"/>
    <n v="79.600000000000009"/>
    <x v="2"/>
    <x v="0"/>
  </r>
  <r>
    <n v="107"/>
    <x v="6"/>
    <x v="0"/>
    <n v="32"/>
    <x v="6"/>
    <n v="41"/>
    <n v="35"/>
    <n v="39"/>
    <n v="185"/>
    <n v="37"/>
    <x v="4"/>
    <x v="1"/>
  </r>
  <r>
    <n v="108"/>
    <x v="7"/>
    <x v="0"/>
    <n v="88"/>
    <x v="7"/>
    <n v="85"/>
    <n v="90"/>
    <n v="94"/>
    <n v="449"/>
    <n v="89.8"/>
    <x v="0"/>
    <x v="0"/>
  </r>
  <r>
    <n v="109"/>
    <x v="8"/>
    <x v="0"/>
    <n v="71"/>
    <x v="8"/>
    <n v="69"/>
    <n v="74"/>
    <n v="68"/>
    <n v="347"/>
    <n v="69.399999999999991"/>
    <x v="5"/>
    <x v="0"/>
  </r>
  <r>
    <n v="110"/>
    <x v="9"/>
    <x v="0"/>
    <n v="59"/>
    <x v="9"/>
    <n v="62"/>
    <n v="57"/>
    <n v="61"/>
    <n v="293"/>
    <n v="58.599999999999994"/>
    <x v="3"/>
    <x v="0"/>
  </r>
  <r>
    <n v="111"/>
    <x v="10"/>
    <x v="1"/>
    <n v="84"/>
    <x v="10"/>
    <n v="91"/>
    <n v="87"/>
    <n v="82"/>
    <n v="423"/>
    <n v="84.6"/>
    <x v="0"/>
    <x v="0"/>
  </r>
  <r>
    <n v="112"/>
    <x v="11"/>
    <x v="1"/>
    <n v="73"/>
    <x v="11"/>
    <n v="70"/>
    <n v="75"/>
    <n v="79"/>
    <n v="374"/>
    <n v="74.8"/>
    <x v="2"/>
    <x v="0"/>
  </r>
  <r>
    <n v="113"/>
    <x v="12"/>
    <x v="1"/>
    <n v="46"/>
    <x v="12"/>
    <n v="48"/>
    <n v="55"/>
    <n v="51"/>
    <n v="252"/>
    <n v="50.4"/>
    <x v="3"/>
    <x v="0"/>
  </r>
  <r>
    <n v="114"/>
    <x v="13"/>
    <x v="1"/>
    <n v="95"/>
    <x v="13"/>
    <n v="93"/>
    <n v="97"/>
    <n v="91"/>
    <n v="465"/>
    <n v="93"/>
    <x v="1"/>
    <x v="0"/>
  </r>
  <r>
    <n v="115"/>
    <x v="14"/>
    <x v="1"/>
    <n v="64"/>
    <x v="14"/>
    <n v="61"/>
    <n v="67"/>
    <n v="72"/>
    <n v="333"/>
    <n v="66.600000000000009"/>
    <x v="5"/>
    <x v="0"/>
  </r>
  <r>
    <n v="116"/>
    <x v="15"/>
    <x v="1"/>
    <n v="81"/>
    <x v="15"/>
    <n v="83"/>
    <n v="79"/>
    <n v="88"/>
    <n v="417"/>
    <n v="83.399999999999991"/>
    <x v="0"/>
    <x v="0"/>
  </r>
  <r>
    <n v="117"/>
    <x v="16"/>
    <x v="1"/>
    <n v="37"/>
    <x v="16"/>
    <n v="35"/>
    <n v="44"/>
    <n v="40"/>
    <n v="198"/>
    <n v="39.6"/>
    <x v="4"/>
    <x v="1"/>
  </r>
  <r>
    <n v="118"/>
    <x v="17"/>
    <x v="1"/>
    <n v="69"/>
    <x v="17"/>
    <n v="78"/>
    <n v="71"/>
    <n v="76"/>
    <n v="368"/>
    <n v="73.599999999999994"/>
    <x v="2"/>
    <x v="0"/>
  </r>
  <r>
    <n v="119"/>
    <x v="18"/>
    <x v="1"/>
    <n v="53"/>
    <x v="18"/>
    <n v="55"/>
    <n v="60"/>
    <n v="57"/>
    <n v="283"/>
    <n v="56.599999999999994"/>
    <x v="3"/>
    <x v="0"/>
  </r>
  <r>
    <n v="120"/>
    <x v="19"/>
    <x v="1"/>
    <n v="89"/>
    <x v="19"/>
    <n v="87"/>
    <n v="93"/>
    <n v="90"/>
    <n v="450"/>
    <n v="90"/>
    <x v="1"/>
    <x v="0"/>
  </r>
  <r>
    <n v="121"/>
    <x v="20"/>
    <x v="2"/>
    <n v="76"/>
    <x v="20"/>
    <n v="79"/>
    <n v="84"/>
    <n v="77"/>
    <n v="398"/>
    <n v="79.600000000000009"/>
    <x v="2"/>
    <x v="0"/>
  </r>
  <r>
    <n v="122"/>
    <x v="21"/>
    <x v="2"/>
    <n v="62"/>
    <x v="21"/>
    <n v="64"/>
    <n v="69"/>
    <n v="65"/>
    <n v="327"/>
    <n v="65.400000000000006"/>
    <x v="5"/>
    <x v="0"/>
  </r>
  <r>
    <n v="123"/>
    <x v="22"/>
    <x v="2"/>
    <n v="48"/>
    <x v="22"/>
    <n v="51"/>
    <n v="43"/>
    <n v="50"/>
    <n v="237"/>
    <n v="47.4"/>
    <x v="4"/>
    <x v="1"/>
  </r>
  <r>
    <n v="124"/>
    <x v="23"/>
    <x v="2"/>
    <n v="93"/>
    <x v="23"/>
    <n v="91"/>
    <n v="94"/>
    <n v="97"/>
    <n v="471"/>
    <n v="94.199999999999989"/>
    <x v="1"/>
    <x v="0"/>
  </r>
  <r>
    <n v="125"/>
    <x v="24"/>
    <x v="2"/>
    <n v="57"/>
    <x v="24"/>
    <n v="59"/>
    <n v="61"/>
    <n v="56"/>
    <n v="296"/>
    <n v="59.199999999999996"/>
    <x v="3"/>
    <x v="0"/>
  </r>
  <r>
    <n v="126"/>
    <x v="25"/>
    <x v="2"/>
    <n v="85"/>
    <x v="25"/>
    <n v="82"/>
    <n v="90"/>
    <n v="86"/>
    <n v="431"/>
    <n v="86.2"/>
    <x v="0"/>
    <x v="0"/>
  </r>
  <r>
    <n v="127"/>
    <x v="26"/>
    <x v="2"/>
    <n v="34"/>
    <x v="26"/>
    <n v="43"/>
    <n v="36"/>
    <n v="33"/>
    <n v="177"/>
    <n v="35.4"/>
    <x v="4"/>
    <x v="1"/>
  </r>
  <r>
    <n v="128"/>
    <x v="27"/>
    <x v="2"/>
    <n v="72"/>
    <x v="27"/>
    <n v="74"/>
    <n v="80"/>
    <n v="76"/>
    <n v="380"/>
    <n v="76"/>
    <x v="2"/>
    <x v="0"/>
  </r>
  <r>
    <n v="129"/>
    <x v="28"/>
    <x v="2"/>
    <n v="66"/>
    <x v="28"/>
    <n v="68"/>
    <n v="73"/>
    <n v="70"/>
    <n v="348"/>
    <n v="69.599999999999994"/>
    <x v="5"/>
    <x v="0"/>
  </r>
  <r>
    <n v="130"/>
    <x v="29"/>
    <x v="2"/>
    <n v="98"/>
    <x v="1"/>
    <n v="96"/>
    <n v="99"/>
    <n v="95"/>
    <n v="482"/>
    <n v="96.399999999999991"/>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01"/>
    <s v="Aarav Kumar"/>
    <s v="BBA-1"/>
    <n v="437"/>
    <n v="87.4"/>
    <s v="A"/>
    <s v="Pass"/>
    <x v="0"/>
    <n v="93"/>
  </r>
  <r>
    <n v="101"/>
    <s v="Aarav Kumar"/>
    <s v="BBA-1"/>
    <n v="437"/>
    <n v="87.4"/>
    <s v="A"/>
    <s v="Pass"/>
    <x v="1"/>
    <n v="76"/>
  </r>
  <r>
    <n v="101"/>
    <s v="Aarav Kumar"/>
    <s v="BBA-1"/>
    <n v="437"/>
    <n v="87.4"/>
    <s v="A"/>
    <s v="Pass"/>
    <x v="2"/>
    <n v="98"/>
  </r>
  <r>
    <n v="101"/>
    <s v="Aarav Kumar"/>
    <s v="BBA-1"/>
    <n v="437"/>
    <n v="87.4"/>
    <s v="A"/>
    <s v="Pass"/>
    <x v="3"/>
    <n v="91"/>
  </r>
  <r>
    <n v="101"/>
    <s v="Aarav Kumar"/>
    <s v="BBA-1"/>
    <n v="437"/>
    <n v="87.4"/>
    <s v="A"/>
    <s v="Pass"/>
    <x v="4"/>
    <n v="79"/>
  </r>
  <r>
    <n v="102"/>
    <s v="Ananya Sharma"/>
    <s v="BBA-1"/>
    <n v="457"/>
    <n v="91.4"/>
    <s v="A+"/>
    <s v="Pass"/>
    <x v="0"/>
    <n v="91"/>
  </r>
  <r>
    <n v="102"/>
    <s v="Ananya Sharma"/>
    <s v="BBA-1"/>
    <n v="457"/>
    <n v="91.4"/>
    <s v="A+"/>
    <s v="Pass"/>
    <x v="1"/>
    <n v="94"/>
  </r>
  <r>
    <n v="102"/>
    <s v="Ananya Sharma"/>
    <s v="BBA-1"/>
    <n v="457"/>
    <n v="91.4"/>
    <s v="A+"/>
    <s v="Pass"/>
    <x v="2"/>
    <n v="89"/>
  </r>
  <r>
    <n v="102"/>
    <s v="Ananya Sharma"/>
    <s v="BBA-1"/>
    <n v="457"/>
    <n v="91.4"/>
    <s v="A+"/>
    <s v="Pass"/>
    <x v="3"/>
    <n v="96"/>
  </r>
  <r>
    <n v="102"/>
    <s v="Ananya Sharma"/>
    <s v="BBA-1"/>
    <n v="457"/>
    <n v="91.4"/>
    <s v="A+"/>
    <s v="Pass"/>
    <x v="4"/>
    <n v="87"/>
  </r>
  <r>
    <n v="103"/>
    <s v="Rohan Verma"/>
    <s v="BBA-1"/>
    <n v="351"/>
    <n v="70.199999999999989"/>
    <s v="B"/>
    <s v="Pass"/>
    <x v="0"/>
    <n v="68"/>
  </r>
  <r>
    <n v="103"/>
    <s v="Rohan Verma"/>
    <s v="BBA-1"/>
    <n v="351"/>
    <n v="70.199999999999989"/>
    <s v="B"/>
    <s v="Pass"/>
    <x v="1"/>
    <n v="72"/>
  </r>
  <r>
    <n v="103"/>
    <s v="Rohan Verma"/>
    <s v="BBA-1"/>
    <n v="351"/>
    <n v="70.199999999999989"/>
    <s v="B"/>
    <s v="Pass"/>
    <x v="2"/>
    <n v="75"/>
  </r>
  <r>
    <n v="103"/>
    <s v="Rohan Verma"/>
    <s v="BBA-1"/>
    <n v="351"/>
    <n v="70.199999999999989"/>
    <s v="B"/>
    <s v="Pass"/>
    <x v="3"/>
    <n v="70"/>
  </r>
  <r>
    <n v="103"/>
    <s v="Rohan Verma"/>
    <s v="BBA-1"/>
    <n v="351"/>
    <n v="70.199999999999989"/>
    <s v="B"/>
    <s v="Pass"/>
    <x v="4"/>
    <n v="66"/>
  </r>
  <r>
    <n v="104"/>
    <s v="Priya Singh"/>
    <s v="BBA-1"/>
    <n v="298"/>
    <n v="59.599999999999994"/>
    <s v="D"/>
    <s v="Pass"/>
    <x v="0"/>
    <n v="55"/>
  </r>
  <r>
    <n v="104"/>
    <s v="Priya Singh"/>
    <s v="BBA-1"/>
    <n v="298"/>
    <n v="59.599999999999994"/>
    <s v="D"/>
    <s v="Pass"/>
    <x v="1"/>
    <n v="61"/>
  </r>
  <r>
    <n v="104"/>
    <s v="Priya Singh"/>
    <s v="BBA-1"/>
    <n v="298"/>
    <n v="59.599999999999994"/>
    <s v="D"/>
    <s v="Pass"/>
    <x v="2"/>
    <n v="58"/>
  </r>
  <r>
    <n v="104"/>
    <s v="Priya Singh"/>
    <s v="BBA-1"/>
    <n v="298"/>
    <n v="59.599999999999994"/>
    <s v="D"/>
    <s v="Pass"/>
    <x v="3"/>
    <n v="64"/>
  </r>
  <r>
    <n v="104"/>
    <s v="Priya Singh"/>
    <s v="BBA-1"/>
    <n v="298"/>
    <n v="59.599999999999994"/>
    <s v="D"/>
    <s v="Pass"/>
    <x v="4"/>
    <n v="60"/>
  </r>
  <r>
    <n v="105"/>
    <s v="Aditya Kumar"/>
    <s v="BBA-1"/>
    <n v="245"/>
    <n v="49"/>
    <s v="F"/>
    <s v="Fail"/>
    <x v="0"/>
    <n v="43"/>
  </r>
  <r>
    <n v="105"/>
    <s v="Aditya Kumar"/>
    <s v="BBA-1"/>
    <n v="245"/>
    <n v="49"/>
    <s v="F"/>
    <s v="Fail"/>
    <x v="1"/>
    <n v="49"/>
  </r>
  <r>
    <n v="105"/>
    <s v="Aditya Kumar"/>
    <s v="BBA-1"/>
    <n v="245"/>
    <n v="49"/>
    <s v="F"/>
    <s v="Fail"/>
    <x v="2"/>
    <n v="52"/>
  </r>
  <r>
    <n v="105"/>
    <s v="Aditya Kumar"/>
    <s v="BBA-1"/>
    <n v="245"/>
    <n v="49"/>
    <s v="F"/>
    <s v="Fail"/>
    <x v="3"/>
    <n v="46"/>
  </r>
  <r>
    <n v="105"/>
    <s v="Aditya Kumar"/>
    <s v="BBA-1"/>
    <n v="245"/>
    <n v="49"/>
    <s v="F"/>
    <s v="Fail"/>
    <x v="4"/>
    <n v="55"/>
  </r>
  <r>
    <n v="106"/>
    <s v="Neha Kumari"/>
    <s v="BBA-1"/>
    <n v="398"/>
    <n v="79.600000000000009"/>
    <s v="B"/>
    <s v="Pass"/>
    <x v="0"/>
    <n v="78"/>
  </r>
  <r>
    <n v="106"/>
    <s v="Neha Kumari"/>
    <s v="BBA-1"/>
    <n v="398"/>
    <n v="79.600000000000009"/>
    <s v="B"/>
    <s v="Pass"/>
    <x v="1"/>
    <n v="81"/>
  </r>
  <r>
    <n v="106"/>
    <s v="Neha Kumari"/>
    <s v="BBA-1"/>
    <n v="398"/>
    <n v="79.600000000000009"/>
    <s v="B"/>
    <s v="Pass"/>
    <x v="2"/>
    <n v="74"/>
  </r>
  <r>
    <n v="106"/>
    <s v="Neha Kumari"/>
    <s v="BBA-1"/>
    <n v="398"/>
    <n v="79.600000000000009"/>
    <s v="B"/>
    <s v="Pass"/>
    <x v="3"/>
    <n v="85"/>
  </r>
  <r>
    <n v="106"/>
    <s v="Neha Kumari"/>
    <s v="BBA-1"/>
    <n v="398"/>
    <n v="79.600000000000009"/>
    <s v="B"/>
    <s v="Pass"/>
    <x v="4"/>
    <n v="80"/>
  </r>
  <r>
    <n v="107"/>
    <s v="Rahul Raj"/>
    <s v="BBA-1"/>
    <n v="185"/>
    <n v="37"/>
    <s v="F"/>
    <s v="Fail"/>
    <x v="0"/>
    <n v="32"/>
  </r>
  <r>
    <n v="107"/>
    <s v="Rahul Raj"/>
    <s v="BBA-1"/>
    <n v="185"/>
    <n v="37"/>
    <s v="F"/>
    <s v="Fail"/>
    <x v="1"/>
    <n v="38"/>
  </r>
  <r>
    <n v="107"/>
    <s v="Rahul Raj"/>
    <s v="BBA-1"/>
    <n v="185"/>
    <n v="37"/>
    <s v="F"/>
    <s v="Fail"/>
    <x v="2"/>
    <n v="41"/>
  </r>
  <r>
    <n v="107"/>
    <s v="Rahul Raj"/>
    <s v="BBA-1"/>
    <n v="185"/>
    <n v="37"/>
    <s v="F"/>
    <s v="Fail"/>
    <x v="3"/>
    <n v="35"/>
  </r>
  <r>
    <n v="107"/>
    <s v="Rahul Raj"/>
    <s v="BBA-1"/>
    <n v="185"/>
    <n v="37"/>
    <s v="F"/>
    <s v="Fail"/>
    <x v="4"/>
    <n v="39"/>
  </r>
  <r>
    <n v="108"/>
    <s v="Sneha Gupta"/>
    <s v="BBA-1"/>
    <n v="449"/>
    <n v="89.8"/>
    <s v="A"/>
    <s v="Pass"/>
    <x v="0"/>
    <n v="88"/>
  </r>
  <r>
    <n v="108"/>
    <s v="Sneha Gupta"/>
    <s v="BBA-1"/>
    <n v="449"/>
    <n v="89.8"/>
    <s v="A"/>
    <s v="Pass"/>
    <x v="1"/>
    <n v="92"/>
  </r>
  <r>
    <n v="108"/>
    <s v="Sneha Gupta"/>
    <s v="BBA-1"/>
    <n v="449"/>
    <n v="89.8"/>
    <s v="A"/>
    <s v="Pass"/>
    <x v="2"/>
    <n v="85"/>
  </r>
  <r>
    <n v="108"/>
    <s v="Sneha Gupta"/>
    <s v="BBA-1"/>
    <n v="449"/>
    <n v="89.8"/>
    <s v="A"/>
    <s v="Pass"/>
    <x v="3"/>
    <n v="90"/>
  </r>
  <r>
    <n v="108"/>
    <s v="Sneha Gupta"/>
    <s v="BBA-1"/>
    <n v="449"/>
    <n v="89.8"/>
    <s v="A"/>
    <s v="Pass"/>
    <x v="4"/>
    <n v="94"/>
  </r>
  <r>
    <n v="109"/>
    <s v="Arjun Singh"/>
    <s v="BBA-1"/>
    <n v="347"/>
    <n v="69.399999999999991"/>
    <s v="C"/>
    <s v="Pass"/>
    <x v="0"/>
    <n v="71"/>
  </r>
  <r>
    <n v="109"/>
    <s v="Arjun Singh"/>
    <s v="BBA-1"/>
    <n v="347"/>
    <n v="69.399999999999991"/>
    <s v="C"/>
    <s v="Pass"/>
    <x v="1"/>
    <n v="65"/>
  </r>
  <r>
    <n v="109"/>
    <s v="Arjun Singh"/>
    <s v="BBA-1"/>
    <n v="347"/>
    <n v="69.399999999999991"/>
    <s v="C"/>
    <s v="Pass"/>
    <x v="2"/>
    <n v="69"/>
  </r>
  <r>
    <n v="109"/>
    <s v="Arjun Singh"/>
    <s v="BBA-1"/>
    <n v="347"/>
    <n v="69.399999999999991"/>
    <s v="C"/>
    <s v="Pass"/>
    <x v="3"/>
    <n v="74"/>
  </r>
  <r>
    <n v="109"/>
    <s v="Arjun Singh"/>
    <s v="BBA-1"/>
    <n v="347"/>
    <n v="69.399999999999991"/>
    <s v="C"/>
    <s v="Pass"/>
    <x v="4"/>
    <n v="68"/>
  </r>
  <r>
    <n v="110"/>
    <s v="Pooja Kumari"/>
    <s v="BBA-1"/>
    <n v="293"/>
    <n v="58.599999999999994"/>
    <s v="D"/>
    <s v="Pass"/>
    <x v="0"/>
    <n v="59"/>
  </r>
  <r>
    <n v="110"/>
    <s v="Pooja Kumari"/>
    <s v="BBA-1"/>
    <n v="293"/>
    <n v="58.599999999999994"/>
    <s v="D"/>
    <s v="Pass"/>
    <x v="1"/>
    <n v="54"/>
  </r>
  <r>
    <n v="110"/>
    <s v="Pooja Kumari"/>
    <s v="BBA-1"/>
    <n v="293"/>
    <n v="58.599999999999994"/>
    <s v="D"/>
    <s v="Pass"/>
    <x v="2"/>
    <n v="62"/>
  </r>
  <r>
    <n v="110"/>
    <s v="Pooja Kumari"/>
    <s v="BBA-1"/>
    <n v="293"/>
    <n v="58.599999999999994"/>
    <s v="D"/>
    <s v="Pass"/>
    <x v="3"/>
    <n v="57"/>
  </r>
  <r>
    <n v="110"/>
    <s v="Pooja Kumari"/>
    <s v="BBA-1"/>
    <n v="293"/>
    <n v="58.599999999999994"/>
    <s v="D"/>
    <s v="Pass"/>
    <x v="4"/>
    <n v="61"/>
  </r>
  <r>
    <n v="111"/>
    <s v="Aman Sharma"/>
    <s v="BBA-2"/>
    <n v="423"/>
    <n v="84.6"/>
    <s v="A"/>
    <s v="Pass"/>
    <x v="0"/>
    <n v="84"/>
  </r>
  <r>
    <n v="111"/>
    <s v="Aman Sharma"/>
    <s v="BBA-2"/>
    <n v="423"/>
    <n v="84.6"/>
    <s v="A"/>
    <s v="Pass"/>
    <x v="1"/>
    <n v="79"/>
  </r>
  <r>
    <n v="111"/>
    <s v="Aman Sharma"/>
    <s v="BBA-2"/>
    <n v="423"/>
    <n v="84.6"/>
    <s v="A"/>
    <s v="Pass"/>
    <x v="2"/>
    <n v="91"/>
  </r>
  <r>
    <n v="111"/>
    <s v="Aman Sharma"/>
    <s v="BBA-2"/>
    <n v="423"/>
    <n v="84.6"/>
    <s v="A"/>
    <s v="Pass"/>
    <x v="3"/>
    <n v="87"/>
  </r>
  <r>
    <n v="111"/>
    <s v="Aman Sharma"/>
    <s v="BBA-2"/>
    <n v="423"/>
    <n v="84.6"/>
    <s v="A"/>
    <s v="Pass"/>
    <x v="4"/>
    <n v="82"/>
  </r>
  <r>
    <n v="112"/>
    <s v="Kajal Kumari"/>
    <s v="BBA-2"/>
    <n v="374"/>
    <n v="74.8"/>
    <s v="B"/>
    <s v="Pass"/>
    <x v="0"/>
    <n v="73"/>
  </r>
  <r>
    <n v="112"/>
    <s v="Kajal Kumari"/>
    <s v="BBA-2"/>
    <n v="374"/>
    <n v="74.8"/>
    <s v="B"/>
    <s v="Pass"/>
    <x v="1"/>
    <n v="77"/>
  </r>
  <r>
    <n v="112"/>
    <s v="Kajal Kumari"/>
    <s v="BBA-2"/>
    <n v="374"/>
    <n v="74.8"/>
    <s v="B"/>
    <s v="Pass"/>
    <x v="2"/>
    <n v="70"/>
  </r>
  <r>
    <n v="112"/>
    <s v="Kajal Kumari"/>
    <s v="BBA-2"/>
    <n v="374"/>
    <n v="74.8"/>
    <s v="B"/>
    <s v="Pass"/>
    <x v="3"/>
    <n v="75"/>
  </r>
  <r>
    <n v="112"/>
    <s v="Kajal Kumari"/>
    <s v="BBA-2"/>
    <n v="374"/>
    <n v="74.8"/>
    <s v="B"/>
    <s v="Pass"/>
    <x v="4"/>
    <n v="79"/>
  </r>
  <r>
    <n v="113"/>
    <s v="Vivek Kumar"/>
    <s v="BBA-2"/>
    <n v="252"/>
    <n v="50.4"/>
    <s v="D"/>
    <s v="Pass"/>
    <x v="0"/>
    <n v="46"/>
  </r>
  <r>
    <n v="113"/>
    <s v="Vivek Kumar"/>
    <s v="BBA-2"/>
    <n v="252"/>
    <n v="50.4"/>
    <s v="D"/>
    <s v="Pass"/>
    <x v="1"/>
    <n v="52"/>
  </r>
  <r>
    <n v="113"/>
    <s v="Vivek Kumar"/>
    <s v="BBA-2"/>
    <n v="252"/>
    <n v="50.4"/>
    <s v="D"/>
    <s v="Pass"/>
    <x v="2"/>
    <n v="48"/>
  </r>
  <r>
    <n v="113"/>
    <s v="Vivek Kumar"/>
    <s v="BBA-2"/>
    <n v="252"/>
    <n v="50.4"/>
    <s v="D"/>
    <s v="Pass"/>
    <x v="3"/>
    <n v="55"/>
  </r>
  <r>
    <n v="113"/>
    <s v="Vivek Kumar"/>
    <s v="BBA-2"/>
    <n v="252"/>
    <n v="50.4"/>
    <s v="D"/>
    <s v="Pass"/>
    <x v="4"/>
    <n v="51"/>
  </r>
  <r>
    <n v="114"/>
    <s v="Riya Singh"/>
    <s v="BBA-2"/>
    <n v="465"/>
    <n v="93"/>
    <s v="A+"/>
    <s v="Pass"/>
    <x v="0"/>
    <n v="95"/>
  </r>
  <r>
    <n v="114"/>
    <s v="Riya Singh"/>
    <s v="BBA-2"/>
    <n v="465"/>
    <n v="93"/>
    <s v="A+"/>
    <s v="Pass"/>
    <x v="1"/>
    <n v="89"/>
  </r>
  <r>
    <n v="114"/>
    <s v="Riya Singh"/>
    <s v="BBA-2"/>
    <n v="465"/>
    <n v="93"/>
    <s v="A+"/>
    <s v="Pass"/>
    <x v="2"/>
    <n v="93"/>
  </r>
  <r>
    <n v="114"/>
    <s v="Riya Singh"/>
    <s v="BBA-2"/>
    <n v="465"/>
    <n v="93"/>
    <s v="A+"/>
    <s v="Pass"/>
    <x v="3"/>
    <n v="97"/>
  </r>
  <r>
    <n v="114"/>
    <s v="Riya Singh"/>
    <s v="BBA-2"/>
    <n v="465"/>
    <n v="93"/>
    <s v="A+"/>
    <s v="Pass"/>
    <x v="4"/>
    <n v="91"/>
  </r>
  <r>
    <n v="115"/>
    <s v="Deepak Raj"/>
    <s v="BBA-2"/>
    <n v="333"/>
    <n v="66.600000000000009"/>
    <s v="C"/>
    <s v="Pass"/>
    <x v="0"/>
    <n v="64"/>
  </r>
  <r>
    <n v="115"/>
    <s v="Deepak Raj"/>
    <s v="BBA-2"/>
    <n v="333"/>
    <n v="66.600000000000009"/>
    <s v="C"/>
    <s v="Pass"/>
    <x v="1"/>
    <n v="69"/>
  </r>
  <r>
    <n v="115"/>
    <s v="Deepak Raj"/>
    <s v="BBA-2"/>
    <n v="333"/>
    <n v="66.600000000000009"/>
    <s v="C"/>
    <s v="Pass"/>
    <x v="2"/>
    <n v="61"/>
  </r>
  <r>
    <n v="115"/>
    <s v="Deepak Raj"/>
    <s v="BBA-2"/>
    <n v="333"/>
    <n v="66.600000000000009"/>
    <s v="C"/>
    <s v="Pass"/>
    <x v="3"/>
    <n v="67"/>
  </r>
  <r>
    <n v="115"/>
    <s v="Deepak Raj"/>
    <s v="BBA-2"/>
    <n v="333"/>
    <n v="66.600000000000009"/>
    <s v="C"/>
    <s v="Pass"/>
    <x v="4"/>
    <n v="72"/>
  </r>
  <r>
    <n v="116"/>
    <s v="Simran Kaur"/>
    <s v="BBA-2"/>
    <n v="417"/>
    <n v="83.399999999999991"/>
    <s v="A"/>
    <s v="Pass"/>
    <x v="0"/>
    <n v="81"/>
  </r>
  <r>
    <n v="116"/>
    <s v="Simran Kaur"/>
    <s v="BBA-2"/>
    <n v="417"/>
    <n v="83.399999999999991"/>
    <s v="A"/>
    <s v="Pass"/>
    <x v="1"/>
    <n v="86"/>
  </r>
  <r>
    <n v="116"/>
    <s v="Simran Kaur"/>
    <s v="BBA-2"/>
    <n v="417"/>
    <n v="83.399999999999991"/>
    <s v="A"/>
    <s v="Pass"/>
    <x v="2"/>
    <n v="83"/>
  </r>
  <r>
    <n v="116"/>
    <s v="Simran Kaur"/>
    <s v="BBA-2"/>
    <n v="417"/>
    <n v="83.399999999999991"/>
    <s v="A"/>
    <s v="Pass"/>
    <x v="3"/>
    <n v="79"/>
  </r>
  <r>
    <n v="116"/>
    <s v="Simran Kaur"/>
    <s v="BBA-2"/>
    <n v="417"/>
    <n v="83.399999999999991"/>
    <s v="A"/>
    <s v="Pass"/>
    <x v="4"/>
    <n v="88"/>
  </r>
  <r>
    <n v="117"/>
    <s v="Mohit Kumar"/>
    <s v="BBA-2"/>
    <n v="198"/>
    <n v="39.6"/>
    <s v="F"/>
    <s v="Fail"/>
    <x v="0"/>
    <n v="37"/>
  </r>
  <r>
    <n v="117"/>
    <s v="Mohit Kumar"/>
    <s v="BBA-2"/>
    <n v="198"/>
    <n v="39.6"/>
    <s v="F"/>
    <s v="Fail"/>
    <x v="1"/>
    <n v="42"/>
  </r>
  <r>
    <n v="117"/>
    <s v="Mohit Kumar"/>
    <s v="BBA-2"/>
    <n v="198"/>
    <n v="39.6"/>
    <s v="F"/>
    <s v="Fail"/>
    <x v="2"/>
    <n v="35"/>
  </r>
  <r>
    <n v="117"/>
    <s v="Mohit Kumar"/>
    <s v="BBA-2"/>
    <n v="198"/>
    <n v="39.6"/>
    <s v="F"/>
    <s v="Fail"/>
    <x v="3"/>
    <n v="44"/>
  </r>
  <r>
    <n v="117"/>
    <s v="Mohit Kumar"/>
    <s v="BBA-2"/>
    <n v="198"/>
    <n v="39.6"/>
    <s v="F"/>
    <s v="Fail"/>
    <x v="4"/>
    <n v="40"/>
  </r>
  <r>
    <n v="118"/>
    <s v="Shreya Sharma"/>
    <s v="BBA-2"/>
    <n v="368"/>
    <n v="73.599999999999994"/>
    <s v="B"/>
    <s v="Pass"/>
    <x v="0"/>
    <n v="69"/>
  </r>
  <r>
    <n v="118"/>
    <s v="Shreya Sharma"/>
    <s v="BBA-2"/>
    <n v="368"/>
    <n v="73.599999999999994"/>
    <s v="B"/>
    <s v="Pass"/>
    <x v="1"/>
    <n v="74"/>
  </r>
  <r>
    <n v="118"/>
    <s v="Shreya Sharma"/>
    <s v="BBA-2"/>
    <n v="368"/>
    <n v="73.599999999999994"/>
    <s v="B"/>
    <s v="Pass"/>
    <x v="2"/>
    <n v="78"/>
  </r>
  <r>
    <n v="118"/>
    <s v="Shreya Sharma"/>
    <s v="BBA-2"/>
    <n v="368"/>
    <n v="73.599999999999994"/>
    <s v="B"/>
    <s v="Pass"/>
    <x v="3"/>
    <n v="71"/>
  </r>
  <r>
    <n v="118"/>
    <s v="Shreya Sharma"/>
    <s v="BBA-2"/>
    <n v="368"/>
    <n v="73.599999999999994"/>
    <s v="B"/>
    <s v="Pass"/>
    <x v="4"/>
    <n v="76"/>
  </r>
  <r>
    <n v="119"/>
    <s v="Ravi Kumar"/>
    <s v="BBA-2"/>
    <n v="283"/>
    <n v="56.599999999999994"/>
    <s v="D"/>
    <s v="Pass"/>
    <x v="0"/>
    <n v="53"/>
  </r>
  <r>
    <n v="119"/>
    <s v="Ravi Kumar"/>
    <s v="BBA-2"/>
    <n v="283"/>
    <n v="56.599999999999994"/>
    <s v="D"/>
    <s v="Pass"/>
    <x v="1"/>
    <n v="58"/>
  </r>
  <r>
    <n v="119"/>
    <s v="Ravi Kumar"/>
    <s v="BBA-2"/>
    <n v="283"/>
    <n v="56.599999999999994"/>
    <s v="D"/>
    <s v="Pass"/>
    <x v="2"/>
    <n v="55"/>
  </r>
  <r>
    <n v="119"/>
    <s v="Ravi Kumar"/>
    <s v="BBA-2"/>
    <n v="283"/>
    <n v="56.599999999999994"/>
    <s v="D"/>
    <s v="Pass"/>
    <x v="3"/>
    <n v="60"/>
  </r>
  <r>
    <n v="119"/>
    <s v="Ravi Kumar"/>
    <s v="BBA-2"/>
    <n v="283"/>
    <n v="56.599999999999994"/>
    <s v="D"/>
    <s v="Pass"/>
    <x v="4"/>
    <n v="57"/>
  </r>
  <r>
    <n v="120"/>
    <s v="Nikita Singh"/>
    <s v="BBA-2"/>
    <n v="450"/>
    <n v="90"/>
    <s v="A+"/>
    <s v="Pass"/>
    <x v="0"/>
    <n v="89"/>
  </r>
  <r>
    <n v="120"/>
    <s v="Nikita Singh"/>
    <s v="BBA-2"/>
    <n v="450"/>
    <n v="90"/>
    <s v="A+"/>
    <s v="Pass"/>
    <x v="1"/>
    <n v="91"/>
  </r>
  <r>
    <n v="120"/>
    <s v="Nikita Singh"/>
    <s v="BBA-2"/>
    <n v="450"/>
    <n v="90"/>
    <s v="A+"/>
    <s v="Pass"/>
    <x v="2"/>
    <n v="87"/>
  </r>
  <r>
    <n v="120"/>
    <s v="Nikita Singh"/>
    <s v="BBA-2"/>
    <n v="450"/>
    <n v="90"/>
    <s v="A+"/>
    <s v="Pass"/>
    <x v="3"/>
    <n v="93"/>
  </r>
  <r>
    <n v="120"/>
    <s v="Nikita Singh"/>
    <s v="BBA-2"/>
    <n v="450"/>
    <n v="90"/>
    <s v="A+"/>
    <s v="Pass"/>
    <x v="4"/>
    <n v="90"/>
  </r>
  <r>
    <n v="121"/>
    <s v="Sahil Kumar"/>
    <s v="BBA-3"/>
    <n v="398"/>
    <n v="79.600000000000009"/>
    <s v="B"/>
    <s v="Pass"/>
    <x v="0"/>
    <n v="76"/>
  </r>
  <r>
    <n v="121"/>
    <s v="Sahil Kumar"/>
    <s v="BBA-3"/>
    <n v="398"/>
    <n v="79.600000000000009"/>
    <s v="B"/>
    <s v="Pass"/>
    <x v="1"/>
    <n v="82"/>
  </r>
  <r>
    <n v="121"/>
    <s v="Sahil Kumar"/>
    <s v="BBA-3"/>
    <n v="398"/>
    <n v="79.600000000000009"/>
    <s v="B"/>
    <s v="Pass"/>
    <x v="2"/>
    <n v="79"/>
  </r>
  <r>
    <n v="121"/>
    <s v="Sahil Kumar"/>
    <s v="BBA-3"/>
    <n v="398"/>
    <n v="79.600000000000009"/>
    <s v="B"/>
    <s v="Pass"/>
    <x v="3"/>
    <n v="84"/>
  </r>
  <r>
    <n v="121"/>
    <s v="Sahil Kumar"/>
    <s v="BBA-3"/>
    <n v="398"/>
    <n v="79.600000000000009"/>
    <s v="B"/>
    <s v="Pass"/>
    <x v="4"/>
    <n v="77"/>
  </r>
  <r>
    <n v="122"/>
    <s v="Komal Kumari"/>
    <s v="BBA-3"/>
    <n v="327"/>
    <n v="65.400000000000006"/>
    <s v="C"/>
    <s v="Pass"/>
    <x v="0"/>
    <n v="62"/>
  </r>
  <r>
    <n v="122"/>
    <s v="Komal Kumari"/>
    <s v="BBA-3"/>
    <n v="327"/>
    <n v="65.400000000000006"/>
    <s v="C"/>
    <s v="Pass"/>
    <x v="1"/>
    <n v="67"/>
  </r>
  <r>
    <n v="122"/>
    <s v="Komal Kumari"/>
    <s v="BBA-3"/>
    <n v="327"/>
    <n v="65.400000000000006"/>
    <s v="C"/>
    <s v="Pass"/>
    <x v="2"/>
    <n v="64"/>
  </r>
  <r>
    <n v="122"/>
    <s v="Komal Kumari"/>
    <s v="BBA-3"/>
    <n v="327"/>
    <n v="65.400000000000006"/>
    <s v="C"/>
    <s v="Pass"/>
    <x v="3"/>
    <n v="69"/>
  </r>
  <r>
    <n v="122"/>
    <s v="Komal Kumari"/>
    <s v="BBA-3"/>
    <n v="327"/>
    <n v="65.400000000000006"/>
    <s v="C"/>
    <s v="Pass"/>
    <x v="4"/>
    <n v="65"/>
  </r>
  <r>
    <n v="123"/>
    <s v="Rajesh Singh"/>
    <s v="BBA-3"/>
    <n v="237"/>
    <n v="47.4"/>
    <s v="F"/>
    <s v="Fail"/>
    <x v="0"/>
    <n v="48"/>
  </r>
  <r>
    <n v="123"/>
    <s v="Rajesh Singh"/>
    <s v="BBA-3"/>
    <n v="237"/>
    <n v="47.4"/>
    <s v="F"/>
    <s v="Fail"/>
    <x v="1"/>
    <n v="45"/>
  </r>
  <r>
    <n v="123"/>
    <s v="Rajesh Singh"/>
    <s v="BBA-3"/>
    <n v="237"/>
    <n v="47.4"/>
    <s v="F"/>
    <s v="Fail"/>
    <x v="2"/>
    <n v="51"/>
  </r>
  <r>
    <n v="123"/>
    <s v="Rajesh Singh"/>
    <s v="BBA-3"/>
    <n v="237"/>
    <n v="47.4"/>
    <s v="F"/>
    <s v="Fail"/>
    <x v="3"/>
    <n v="43"/>
  </r>
  <r>
    <n v="123"/>
    <s v="Rajesh Singh"/>
    <s v="BBA-3"/>
    <n v="237"/>
    <n v="47.4"/>
    <s v="F"/>
    <s v="Fail"/>
    <x v="4"/>
    <n v="50"/>
  </r>
  <r>
    <n v="124"/>
    <s v="Divya Sharma"/>
    <s v="BBA-3"/>
    <n v="471"/>
    <n v="94.199999999999989"/>
    <s v="A+"/>
    <s v="Pass"/>
    <x v="0"/>
    <n v="93"/>
  </r>
  <r>
    <n v="124"/>
    <s v="Divya Sharma"/>
    <s v="BBA-3"/>
    <n v="471"/>
    <n v="94.199999999999989"/>
    <s v="A+"/>
    <s v="Pass"/>
    <x v="1"/>
    <n v="96"/>
  </r>
  <r>
    <n v="124"/>
    <s v="Divya Sharma"/>
    <s v="BBA-3"/>
    <n v="471"/>
    <n v="94.199999999999989"/>
    <s v="A+"/>
    <s v="Pass"/>
    <x v="2"/>
    <n v="91"/>
  </r>
  <r>
    <n v="124"/>
    <s v="Divya Sharma"/>
    <s v="BBA-3"/>
    <n v="471"/>
    <n v="94.199999999999989"/>
    <s v="A+"/>
    <s v="Pass"/>
    <x v="3"/>
    <n v="94"/>
  </r>
  <r>
    <n v="124"/>
    <s v="Divya Sharma"/>
    <s v="BBA-3"/>
    <n v="471"/>
    <n v="94.199999999999989"/>
    <s v="A+"/>
    <s v="Pass"/>
    <x v="4"/>
    <n v="97"/>
  </r>
  <r>
    <n v="125"/>
    <s v="Manish Kumar"/>
    <s v="BBA-3"/>
    <n v="296"/>
    <n v="59.199999999999996"/>
    <s v="D"/>
    <s v="Pass"/>
    <x v="0"/>
    <n v="57"/>
  </r>
  <r>
    <n v="125"/>
    <s v="Manish Kumar"/>
    <s v="BBA-3"/>
    <n v="296"/>
    <n v="59.199999999999996"/>
    <s v="D"/>
    <s v="Pass"/>
    <x v="1"/>
    <n v="63"/>
  </r>
  <r>
    <n v="125"/>
    <s v="Manish Kumar"/>
    <s v="BBA-3"/>
    <n v="296"/>
    <n v="59.199999999999996"/>
    <s v="D"/>
    <s v="Pass"/>
    <x v="2"/>
    <n v="59"/>
  </r>
  <r>
    <n v="125"/>
    <s v="Manish Kumar"/>
    <s v="BBA-3"/>
    <n v="296"/>
    <n v="59.199999999999996"/>
    <s v="D"/>
    <s v="Pass"/>
    <x v="3"/>
    <n v="61"/>
  </r>
  <r>
    <n v="125"/>
    <s v="Manish Kumar"/>
    <s v="BBA-3"/>
    <n v="296"/>
    <n v="59.199999999999996"/>
    <s v="D"/>
    <s v="Pass"/>
    <x v="4"/>
    <n v="56"/>
  </r>
  <r>
    <n v="126"/>
    <s v="Anjali Kumari"/>
    <s v="BBA-3"/>
    <n v="431"/>
    <n v="86.2"/>
    <s v="A"/>
    <s v="Pass"/>
    <x v="0"/>
    <n v="85"/>
  </r>
  <r>
    <n v="126"/>
    <s v="Anjali Kumari"/>
    <s v="BBA-3"/>
    <n v="431"/>
    <n v="86.2"/>
    <s v="A"/>
    <s v="Pass"/>
    <x v="1"/>
    <n v="88"/>
  </r>
  <r>
    <n v="126"/>
    <s v="Anjali Kumari"/>
    <s v="BBA-3"/>
    <n v="431"/>
    <n v="86.2"/>
    <s v="A"/>
    <s v="Pass"/>
    <x v="2"/>
    <n v="82"/>
  </r>
  <r>
    <n v="126"/>
    <s v="Anjali Kumari"/>
    <s v="BBA-3"/>
    <n v="431"/>
    <n v="86.2"/>
    <s v="A"/>
    <s v="Pass"/>
    <x v="3"/>
    <n v="90"/>
  </r>
  <r>
    <n v="126"/>
    <s v="Anjali Kumari"/>
    <s v="BBA-3"/>
    <n v="431"/>
    <n v="86.2"/>
    <s v="A"/>
    <s v="Pass"/>
    <x v="4"/>
    <n v="86"/>
  </r>
  <r>
    <n v="127"/>
    <s v="Akash Raj"/>
    <s v="BBA-3"/>
    <n v="177"/>
    <n v="35.4"/>
    <s v="F"/>
    <s v="Fail"/>
    <x v="0"/>
    <n v="34"/>
  </r>
  <r>
    <n v="127"/>
    <s v="Akash Raj"/>
    <s v="BBA-3"/>
    <n v="177"/>
    <n v="35.4"/>
    <s v="F"/>
    <s v="Fail"/>
    <x v="1"/>
    <n v="31"/>
  </r>
  <r>
    <n v="127"/>
    <s v="Akash Raj"/>
    <s v="BBA-3"/>
    <n v="177"/>
    <n v="35.4"/>
    <s v="F"/>
    <s v="Fail"/>
    <x v="2"/>
    <n v="43"/>
  </r>
  <r>
    <n v="127"/>
    <s v="Akash Raj"/>
    <s v="BBA-3"/>
    <n v="177"/>
    <n v="35.4"/>
    <s v="F"/>
    <s v="Fail"/>
    <x v="3"/>
    <n v="36"/>
  </r>
  <r>
    <n v="127"/>
    <s v="Akash Raj"/>
    <s v="BBA-3"/>
    <n v="177"/>
    <n v="35.4"/>
    <s v="F"/>
    <s v="Fail"/>
    <x v="4"/>
    <n v="33"/>
  </r>
  <r>
    <n v="128"/>
    <s v="Tanya Singh"/>
    <s v="BBA-3"/>
    <n v="380"/>
    <n v="76"/>
    <s v="B"/>
    <s v="Pass"/>
    <x v="0"/>
    <n v="72"/>
  </r>
  <r>
    <n v="128"/>
    <s v="Tanya Singh"/>
    <s v="BBA-3"/>
    <n v="380"/>
    <n v="76"/>
    <s v="B"/>
    <s v="Pass"/>
    <x v="1"/>
    <n v="78"/>
  </r>
  <r>
    <n v="128"/>
    <s v="Tanya Singh"/>
    <s v="BBA-3"/>
    <n v="380"/>
    <n v="76"/>
    <s v="B"/>
    <s v="Pass"/>
    <x v="2"/>
    <n v="74"/>
  </r>
  <r>
    <n v="128"/>
    <s v="Tanya Singh"/>
    <s v="BBA-3"/>
    <n v="380"/>
    <n v="76"/>
    <s v="B"/>
    <s v="Pass"/>
    <x v="3"/>
    <n v="80"/>
  </r>
  <r>
    <n v="128"/>
    <s v="Tanya Singh"/>
    <s v="BBA-3"/>
    <n v="380"/>
    <n v="76"/>
    <s v="B"/>
    <s v="Pass"/>
    <x v="4"/>
    <n v="76"/>
  </r>
  <r>
    <n v="129"/>
    <s v="Karan Kumar"/>
    <s v="BBA-3"/>
    <n v="348"/>
    <n v="69.599999999999994"/>
    <s v="C"/>
    <s v="Pass"/>
    <x v="0"/>
    <n v="66"/>
  </r>
  <r>
    <n v="129"/>
    <s v="Karan Kumar"/>
    <s v="BBA-3"/>
    <n v="348"/>
    <n v="69.599999999999994"/>
    <s v="C"/>
    <s v="Pass"/>
    <x v="1"/>
    <n v="71"/>
  </r>
  <r>
    <n v="129"/>
    <s v="Karan Kumar"/>
    <s v="BBA-3"/>
    <n v="348"/>
    <n v="69.599999999999994"/>
    <s v="C"/>
    <s v="Pass"/>
    <x v="2"/>
    <n v="68"/>
  </r>
  <r>
    <n v="129"/>
    <s v="Karan Kumar"/>
    <s v="BBA-3"/>
    <n v="348"/>
    <n v="69.599999999999994"/>
    <s v="C"/>
    <s v="Pass"/>
    <x v="3"/>
    <n v="73"/>
  </r>
  <r>
    <n v="129"/>
    <s v="Karan Kumar"/>
    <s v="BBA-3"/>
    <n v="348"/>
    <n v="69.599999999999994"/>
    <s v="C"/>
    <s v="Pass"/>
    <x v="4"/>
    <n v="70"/>
  </r>
  <r>
    <n v="130"/>
    <s v="Meera Sharma"/>
    <s v="BBA-3"/>
    <n v="482"/>
    <n v="96.399999999999991"/>
    <s v="A+"/>
    <s v="Pass"/>
    <x v="0"/>
    <n v="98"/>
  </r>
  <r>
    <n v="130"/>
    <s v="Meera Sharma"/>
    <s v="BBA-3"/>
    <n v="482"/>
    <n v="96.399999999999991"/>
    <s v="A+"/>
    <s v="Pass"/>
    <x v="1"/>
    <n v="94"/>
  </r>
  <r>
    <n v="130"/>
    <s v="Meera Sharma"/>
    <s v="BBA-3"/>
    <n v="482"/>
    <n v="96.399999999999991"/>
    <s v="A+"/>
    <s v="Pass"/>
    <x v="2"/>
    <n v="96"/>
  </r>
  <r>
    <n v="130"/>
    <s v="Meera Sharma"/>
    <s v="BBA-3"/>
    <n v="482"/>
    <n v="96.399999999999991"/>
    <s v="A+"/>
    <s v="Pass"/>
    <x v="3"/>
    <n v="99"/>
  </r>
  <r>
    <n v="130"/>
    <s v="Meera Sharma"/>
    <s v="BBA-3"/>
    <n v="482"/>
    <n v="96.399999999999991"/>
    <s v="A+"/>
    <s v="Pass"/>
    <x v="4"/>
    <n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3C818-0663-48E9-A6D3-98174194D842}" name="ptPassFai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12">
    <pivotField dataField="1" showAll="0"/>
    <pivotField showAll="0"/>
    <pivotField showAll="0">
      <items count="4">
        <item x="0"/>
        <item x="1"/>
        <item x="2"/>
        <item t="default"/>
      </items>
    </pivotField>
    <pivotField showAll="0"/>
    <pivotField showAll="0"/>
    <pivotField showAll="0"/>
    <pivotField showAll="0"/>
    <pivotField showAll="0"/>
    <pivotField showAll="0"/>
    <pivotField numFmtId="164" showAll="0"/>
    <pivotField showAll="0">
      <items count="7">
        <item x="0"/>
        <item x="1"/>
        <item x="2"/>
        <item x="5"/>
        <item x="3"/>
        <item x="4"/>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Count of Roll No" fld="0" subtotal="count" baseField="0" baseItem="0"/>
  </dataFields>
  <formats count="6">
    <format dxfId="38">
      <pivotArea type="all" dataOnly="0" outline="0" fieldPosition="0"/>
    </format>
    <format dxfId="37">
      <pivotArea outline="0" collapsedLevelsAreSubtotals="1" fieldPosition="0"/>
    </format>
    <format dxfId="36">
      <pivotArea field="11" type="button" dataOnly="0" labelOnly="1" outline="0" axis="axisRow" fieldPosition="0"/>
    </format>
    <format dxfId="35">
      <pivotArea dataOnly="0" labelOnly="1" fieldPosition="0">
        <references count="1">
          <reference field="11" count="0"/>
        </references>
      </pivotArea>
    </format>
    <format dxfId="34">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865479-7BF6-447B-AA8C-5D1FD02FF297}" name="ptGrade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0:E27" firstHeaderRow="1" firstDataRow="1" firstDataCol="1"/>
  <pivotFields count="12">
    <pivotField dataField="1" showAll="0"/>
    <pivotField showAll="0"/>
    <pivotField showAll="0">
      <items count="4">
        <item x="0"/>
        <item x="1"/>
        <item x="2"/>
        <item t="default"/>
      </items>
    </pivotField>
    <pivotField showAll="0"/>
    <pivotField showAll="0"/>
    <pivotField showAll="0"/>
    <pivotField showAll="0"/>
    <pivotField showAll="0"/>
    <pivotField showAll="0"/>
    <pivotField numFmtId="164" showAll="0"/>
    <pivotField axis="axisRow" showAll="0">
      <items count="7">
        <item x="0"/>
        <item x="1"/>
        <item x="2"/>
        <item x="5"/>
        <item x="3"/>
        <item x="4"/>
        <item t="default"/>
      </items>
    </pivotField>
    <pivotField showAll="0">
      <items count="3">
        <item x="1"/>
        <item x="0"/>
        <item t="default"/>
      </items>
    </pivotField>
  </pivotFields>
  <rowFields count="1">
    <field x="10"/>
  </rowFields>
  <rowItems count="7">
    <i>
      <x/>
    </i>
    <i>
      <x v="1"/>
    </i>
    <i>
      <x v="2"/>
    </i>
    <i>
      <x v="3"/>
    </i>
    <i>
      <x v="4"/>
    </i>
    <i>
      <x v="5"/>
    </i>
    <i t="grand">
      <x/>
    </i>
  </rowItems>
  <colItems count="1">
    <i/>
  </colItems>
  <dataFields count="1">
    <dataField name="Count of Roll No" fld="0" subtotal="count" baseField="0" baseItem="0"/>
  </dataFields>
  <formats count="6">
    <format dxfId="44">
      <pivotArea type="all" dataOnly="0" outline="0" fieldPosition="0"/>
    </format>
    <format dxfId="43">
      <pivotArea outline="0" collapsedLevelsAreSubtotals="1" fieldPosition="0"/>
    </format>
    <format dxfId="42">
      <pivotArea field="10" type="button" dataOnly="0" labelOnly="1" outline="0" axis="axisRow" fieldPosition="0"/>
    </format>
    <format dxfId="41">
      <pivotArea dataOnly="0" labelOnly="1" fieldPosition="0">
        <references count="1">
          <reference field="10" count="0"/>
        </references>
      </pivotArea>
    </format>
    <format dxfId="40">
      <pivotArea dataOnly="0" labelOnly="1" grandRow="1" outline="0" fieldPosition="0"/>
    </format>
    <format dxfId="39">
      <pivotArea dataOnly="0" labelOnly="1" outline="0" axis="axisValues" fieldPosition="0"/>
    </format>
  </format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 chart="2" format="12">
      <pivotArea type="data" outline="0" fieldPosition="0">
        <references count="2">
          <reference field="4294967294" count="1" selected="0">
            <x v="0"/>
          </reference>
          <reference field="10" count="1" selected="0">
            <x v="3"/>
          </reference>
        </references>
      </pivotArea>
    </chartFormat>
    <chartFormat chart="2" format="13">
      <pivotArea type="data" outline="0" fieldPosition="0">
        <references count="2">
          <reference field="4294967294" count="1" selected="0">
            <x v="0"/>
          </reference>
          <reference field="10" count="1" selected="0">
            <x v="4"/>
          </reference>
        </references>
      </pivotArea>
    </chartFormat>
    <chartFormat chart="2" format="1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7A75EF-7C3E-4521-ACEA-8FC3200CA402}" name="ptSubject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1:E17" firstHeaderRow="1" firstDataRow="1" firstDataCol="1"/>
  <pivotFields count="9">
    <pivotField showAll="0"/>
    <pivotField showAll="0"/>
    <pivotField showAll="0"/>
    <pivotField showAll="0"/>
    <pivotField showAll="0"/>
    <pivotField showAll="0"/>
    <pivotField showAll="0"/>
    <pivotField axis="axisRow" showAll="0">
      <items count="6">
        <item x="4"/>
        <item x="0"/>
        <item x="2"/>
        <item x="1"/>
        <item x="3"/>
        <item t="default"/>
      </items>
    </pivotField>
    <pivotField dataField="1" showAll="0"/>
  </pivotFields>
  <rowFields count="1">
    <field x="7"/>
  </rowFields>
  <rowItems count="6">
    <i>
      <x/>
    </i>
    <i>
      <x v="1"/>
    </i>
    <i>
      <x v="2"/>
    </i>
    <i>
      <x v="3"/>
    </i>
    <i>
      <x v="4"/>
    </i>
    <i t="grand">
      <x/>
    </i>
  </rowItems>
  <colItems count="1">
    <i/>
  </colItems>
  <dataFields count="1">
    <dataField name="Average of Marks" fld="8" subtotal="average" baseField="0" baseItem="0" numFmtId="164"/>
  </dataFields>
  <formats count="6">
    <format dxfId="50">
      <pivotArea type="all" dataOnly="0" outline="0" fieldPosition="0"/>
    </format>
    <format dxfId="49">
      <pivotArea outline="0" collapsedLevelsAreSubtotals="1" fieldPosition="0"/>
    </format>
    <format dxfId="48">
      <pivotArea field="7" type="button" dataOnly="0" labelOnly="1" outline="0" axis="axisRow" fieldPosition="0"/>
    </format>
    <format dxfId="47">
      <pivotArea dataOnly="0" labelOnly="1" fieldPosition="0">
        <references count="1">
          <reference field="7" count="0"/>
        </references>
      </pivotArea>
    </format>
    <format dxfId="46">
      <pivotArea dataOnly="0" labelOnly="1" grandRow="1" outline="0" fieldPosition="0"/>
    </format>
    <format dxfId="4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2ECABE-C446-44BF-A32A-134A96AE29B2}" name="ptClass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7" firstHeaderRow="1" firstDataRow="1" firstDataCol="1"/>
  <pivotFields count="12">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164" showAll="0"/>
    <pivotField showAll="0">
      <items count="7">
        <item x="0"/>
        <item x="1"/>
        <item x="2"/>
        <item x="5"/>
        <item x="3"/>
        <item x="4"/>
        <item t="default"/>
      </items>
    </pivotField>
    <pivotField showAll="0">
      <items count="3">
        <item x="1"/>
        <item x="0"/>
        <item t="default"/>
      </items>
    </pivotField>
  </pivotFields>
  <rowFields count="1">
    <field x="2"/>
  </rowFields>
  <rowItems count="4">
    <i>
      <x/>
    </i>
    <i>
      <x v="1"/>
    </i>
    <i>
      <x v="2"/>
    </i>
    <i t="grand">
      <x/>
    </i>
  </rowItems>
  <colItems count="1">
    <i/>
  </colItems>
  <dataFields count="1">
    <dataField name="Average of Percentage %" fld="9" subtotal="average" baseField="0" baseItem="0" numFmtId="164"/>
  </dataFields>
  <formats count="8">
    <format dxfId="58">
      <pivotArea collapsedLevelsAreSubtotals="1" fieldPosition="0">
        <references count="1">
          <reference field="2" count="1">
            <x v="0"/>
          </reference>
        </references>
      </pivotArea>
    </format>
    <format dxfId="57">
      <pivotArea type="all" dataOnly="0" outline="0" fieldPosition="0"/>
    </format>
    <format dxfId="56">
      <pivotArea outline="0" collapsedLevelsAreSubtotals="1"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grandRow="1" outline="0" fieldPosition="0"/>
    </format>
    <format dxfId="52">
      <pivotArea dataOnly="0" labelOnly="1" outline="0" axis="axisValues" fieldPosition="0"/>
    </format>
    <format dxfId="51">
      <pivotArea outline="0" fieldPosition="0">
        <references count="1">
          <reference field="4294967294" count="1">
            <x v="0"/>
          </reference>
        </references>
      </pivotArea>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E9BD6E-6B98-4558-BE4B-A09F1E8DEC52}" name="ptTop5Stud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11:H16" firstHeaderRow="1" firstDataRow="1" firstDataCol="1"/>
  <pivotFields count="12">
    <pivotField showAll="0"/>
    <pivotField axis="axisRow" showAll="0" measureFilter="1" sortType="descending">
      <items count="31">
        <item x="0"/>
        <item x="4"/>
        <item x="26"/>
        <item x="10"/>
        <item x="1"/>
        <item x="25"/>
        <item x="8"/>
        <item x="14"/>
        <item x="23"/>
        <item x="11"/>
        <item x="28"/>
        <item x="21"/>
        <item x="24"/>
        <item x="29"/>
        <item x="16"/>
        <item x="5"/>
        <item x="19"/>
        <item x="9"/>
        <item x="3"/>
        <item x="6"/>
        <item x="22"/>
        <item x="18"/>
        <item x="13"/>
        <item x="2"/>
        <item x="20"/>
        <item x="17"/>
        <item x="15"/>
        <item x="7"/>
        <item x="27"/>
        <item x="1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showAll="0"/>
    <pivotField dataField="1" numFmtId="164" showAll="0"/>
    <pivotField showAll="0">
      <items count="7">
        <item x="0"/>
        <item x="1"/>
        <item x="2"/>
        <item x="5"/>
        <item x="3"/>
        <item x="4"/>
        <item t="default"/>
      </items>
    </pivotField>
    <pivotField showAll="0">
      <items count="3">
        <item x="1"/>
        <item x="0"/>
        <item t="default"/>
      </items>
    </pivotField>
  </pivotFields>
  <rowFields count="1">
    <field x="1"/>
  </rowFields>
  <rowItems count="5">
    <i>
      <x v="13"/>
    </i>
    <i>
      <x v="8"/>
    </i>
    <i>
      <x v="22"/>
    </i>
    <i>
      <x v="4"/>
    </i>
    <i>
      <x v="16"/>
    </i>
  </rowItems>
  <colItems count="1">
    <i/>
  </colItems>
  <dataFields count="1">
    <dataField name="Average of Percentage %" fld="9" subtotal="average" baseField="1" baseItem="0" numFmtId="164"/>
  </dataFields>
  <formats count="10">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5">
            <x v="4"/>
            <x v="8"/>
            <x v="13"/>
            <x v="16"/>
            <x v="22"/>
          </reference>
        </references>
      </pivotArea>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 type="button" dataOnly="0" labelOnly="1" outline="0" axis="axisRow" fieldPosition="0"/>
    </format>
    <format dxfId="60">
      <pivotArea dataOnly="0" labelOnly="1" fieldPosition="0">
        <references count="1">
          <reference field="1" count="5">
            <x v="4"/>
            <x v="8"/>
            <x v="13"/>
            <x v="16"/>
            <x v="22"/>
          </reference>
        </references>
      </pivotArea>
    </format>
    <format dxfId="59">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2519A0-E243-4A9C-A4A5-9154EAE57749}" autoFormatId="16" applyNumberFormats="0" applyBorderFormats="0" applyFontFormats="0" applyPatternFormats="0" applyAlignmentFormats="0" applyWidthHeightFormats="0">
  <queryTableRefresh nextId="10">
    <queryTableFields count="9">
      <queryTableField id="1" name="Roll No" tableColumnId="1"/>
      <queryTableField id="2" name="Student Name" tableColumnId="2"/>
      <queryTableField id="3" name="Course" tableColumnId="3"/>
      <queryTableField id="4" name="Total Marks  " tableColumnId="4"/>
      <queryTableField id="5" name="Percentage %" tableColumnId="5"/>
      <queryTableField id="6" name="Grade" tableColumnId="6"/>
      <queryTableField id="7" name="Status" tableColumnId="7"/>
      <queryTableField id="8" name="Subject" tableColumnId="8"/>
      <queryTableField id="9" name="Mark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AB0FB882-AEB8-4B1E-B8C4-B5C663E1DAAA}" sourceName="Course">
  <pivotTables>
    <pivotTable tabId="4" name="ptClassPerformance"/>
    <pivotTable tabId="4" name="ptGradedistribution"/>
    <pivotTable tabId="4" name="ptPassFail"/>
    <pivotTable tabId="4" name="ptTop5Students"/>
  </pivotTables>
  <data>
    <tabular pivotCacheId="121080660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D114560-A46C-4512-A7F2-A1325ECE826F}" sourceName="Status">
  <pivotTables>
    <pivotTable tabId="4" name="ptPassFail"/>
    <pivotTable tabId="4" name="ptClassPerformance"/>
    <pivotTable tabId="4" name="ptGradedistribution"/>
    <pivotTable tabId="4" name="ptTop5Students"/>
  </pivotTables>
  <data>
    <tabular pivotCacheId="121080660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B5829321-41B1-40D8-8E32-D46C4B439EC0}" sourceName="Grade">
  <pivotTables>
    <pivotTable tabId="4" name="ptGradedistribution"/>
    <pivotTable tabId="4" name="ptClassPerformance"/>
    <pivotTable tabId="4" name="ptPassFail"/>
    <pivotTable tabId="4" name="ptTop5Students"/>
  </pivotTables>
  <data>
    <tabular pivotCacheId="1210806604">
      <items count="6">
        <i x="0" s="1"/>
        <i x="1" s="1"/>
        <i x="2" s="1"/>
        <i x="5"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4B6EF800-AEC1-4B62-85CA-06729E53496F}" sourceName="Subject">
  <pivotTables>
    <pivotTable tabId="4" name="ptSubjectPerformance"/>
  </pivotTables>
  <data>
    <tabular pivotCacheId="464230049">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66AB5355-07F7-4BB6-9954-32C7AB2D9515}" cache="Slicer_Course" caption="Course" rowHeight="241300"/>
  <slicer name="Status" xr10:uid="{9BC968C4-F948-44F5-8C39-69C9D452841C}" cache="Slicer_Status" caption="Status" rowHeight="241300"/>
  <slicer name="Grade" xr10:uid="{A1C524A1-DF9A-4CD0-BD4A-0FDAEA3E424C}" cache="Slicer_Grade" caption="Grade" rowHeight="241300"/>
  <slicer name="Subject" xr10:uid="{2F8C87E0-71B2-4790-93D8-E59397F78F66}" cache="Slicer_Subject" caption="Subject"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7B3107-4D56-4A8C-9281-BB6BF8A47047}" name="Marksheet_Table" displayName="Marksheet_Table" ref="F3:Q33" totalsRowShown="0" headerRowDxfId="32" dataDxfId="30" headerRowBorderDxfId="31" tableBorderDxfId="29" totalsRowBorderDxfId="28">
  <autoFilter ref="F3:Q33" xr:uid="{087B3107-4D56-4A8C-9281-BB6BF8A47047}"/>
  <tableColumns count="12">
    <tableColumn id="1" xr3:uid="{FC190B71-E146-4D40-BA7E-B7EAD9214540}" name="Roll No" dataDxfId="27"/>
    <tableColumn id="2" xr3:uid="{251F0D57-F2AD-4B21-A684-DDA0486C2510}" name="Student Name" dataDxfId="26"/>
    <tableColumn id="3" xr3:uid="{CB5A4085-F1BD-4ADB-B501-B3D14B99A7FA}" name="Course" dataDxfId="25"/>
    <tableColumn id="4" xr3:uid="{9633F99E-76B6-4D88-A479-6A8716235A57}" name="Business English" dataDxfId="24"/>
    <tableColumn id="5" xr3:uid="{E875183C-97C9-434D-9380-92D1201C714A}" name="Business Math" dataDxfId="23"/>
    <tableColumn id="6" xr3:uid="{6BF9FE50-6D1D-43BE-8C19-B58F830194A5}" name="Business Finance" dataDxfId="22"/>
    <tableColumn id="7" xr3:uid="{2E28E225-B580-42F2-9064-B631BC18791B}" name="IT for Business" dataDxfId="21"/>
    <tableColumn id="8" xr3:uid="{5F4767AC-0379-4579-9404-5F94AF186A9E}" name="Business Economics" dataDxfId="20"/>
    <tableColumn id="9" xr3:uid="{F91ADEB0-F9C4-4321-BF9B-1465D83B42B4}" name="Total Marks  " dataDxfId="19">
      <calculatedColumnFormula>SUM(Marksheet_Table[[#This Row],[Business English]:[Business Economics]])</calculatedColumnFormula>
    </tableColumn>
    <tableColumn id="10" xr3:uid="{ECFE349B-6A32-4EB3-BC39-93F1F8366AD5}" name="Percentage %" dataDxfId="18">
      <calculatedColumnFormula>Marksheet_Table[[#This Row],[Total Marks  ]]/500*100</calculatedColumnFormula>
    </tableColumn>
    <tableColumn id="11" xr3:uid="{0B69EF57-18F0-48F8-A987-AC4D05267982}" name="Grade" dataDxfId="17">
      <calculatedColumnFormula>IF(Marksheet_Table[[#This Row],[Percentage %]]&gt;=90,"A+",IF(Marksheet_Table[[#This Row],[Percentage %]]&gt;=80,"A",IF(Marksheet_Table[[#This Row],[Percentage %]]&gt;=70,"B",IF(Marksheet_Table[[#This Row],[Percentage %]]&gt;=60,"C",IF(Marksheet_Table[[#This Row],[Percentage %]]&gt;=50,"D","F")))))</calculatedColumnFormula>
    </tableColumn>
    <tableColumn id="12" xr3:uid="{DAAB6674-B7C5-484F-9585-BBB31A51DE35}" name="Status" dataDxfId="16">
      <calculatedColumnFormula>IF(Marksheet_Table[[#This Row],[Percentage %]]&gt;=50,"Pass","Fail")</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9A7444-B88B-4E04-BA5F-60680A6B93EF}" name="Marksheet_Table_1" displayName="Marksheet_Table_1" ref="A1:I151" tableType="queryTable" totalsRowShown="0">
  <autoFilter ref="A1:I151" xr:uid="{2D9A7444-B88B-4E04-BA5F-60680A6B93EF}"/>
  <tableColumns count="9">
    <tableColumn id="1" xr3:uid="{D14008FF-2AB4-4544-A9C9-B5602D8307EE}" uniqueName="1" name="Roll No" queryTableFieldId="1"/>
    <tableColumn id="2" xr3:uid="{0A5C7EBE-9FCA-41C8-9BF8-2ECD84E66D12}" uniqueName="2" name="Student Name" queryTableFieldId="2" dataDxfId="15"/>
    <tableColumn id="3" xr3:uid="{41FC9711-E728-4448-9F04-8011B27F17A5}" uniqueName="3" name="Course" queryTableFieldId="3" dataDxfId="14"/>
    <tableColumn id="4" xr3:uid="{A16175D1-B6BA-4222-899C-09799604125C}" uniqueName="4" name="Total Marks  " queryTableFieldId="4"/>
    <tableColumn id="5" xr3:uid="{FB29BF5B-3013-410C-8C93-61EA64066CE6}" uniqueName="5" name="Percentage %" queryTableFieldId="5"/>
    <tableColumn id="6" xr3:uid="{8FC1B6E2-6F37-4D14-8EF0-EEF8CF7F0FAE}" uniqueName="6" name="Grade" queryTableFieldId="6" dataDxfId="13"/>
    <tableColumn id="7" xr3:uid="{FF6D24AD-217C-41C0-B081-5C3E6A8BA1BF}" uniqueName="7" name="Status" queryTableFieldId="7" dataDxfId="12"/>
    <tableColumn id="8" xr3:uid="{67DE9444-CDD8-40B8-9C45-4D9E88CB2656}" uniqueName="8" name="Subject" queryTableFieldId="8" dataDxfId="11"/>
    <tableColumn id="9" xr3:uid="{CDBAB2E5-B3F4-4BC0-BE6E-61665F16A328}" uniqueName="9" name="Mark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462E-879A-48A6-88AF-191C638803C9}">
  <sheetPr>
    <tabColor theme="7" tint="0.79998168889431442"/>
  </sheetPr>
  <dimension ref="D1:K32"/>
  <sheetViews>
    <sheetView workbookViewId="0">
      <selection activeCell="L8" sqref="L8"/>
    </sheetView>
  </sheetViews>
  <sheetFormatPr defaultRowHeight="15" x14ac:dyDescent="0.25"/>
  <cols>
    <col min="4" max="4" width="10.7109375" customWidth="1"/>
    <col min="5" max="5" width="18.5703125" customWidth="1"/>
    <col min="6" max="6" width="10.7109375" customWidth="1"/>
    <col min="7" max="7" width="17.140625" customWidth="1"/>
    <col min="8" max="8" width="17.42578125" customWidth="1"/>
    <col min="9" max="9" width="18.85546875" customWidth="1"/>
    <col min="10" max="10" width="17.140625" customWidth="1"/>
    <col min="11" max="11" width="24.42578125" customWidth="1"/>
    <col min="12" max="12" width="17" customWidth="1"/>
  </cols>
  <sheetData>
    <row r="1" spans="4:11" ht="15.75" thickBot="1" x14ac:dyDescent="0.3"/>
    <row r="2" spans="4:11" ht="16.5" thickBot="1" x14ac:dyDescent="0.3">
      <c r="D2" s="12" t="s">
        <v>0</v>
      </c>
      <c r="E2" s="13" t="s">
        <v>1</v>
      </c>
      <c r="F2" s="13" t="s">
        <v>35</v>
      </c>
      <c r="G2" s="13" t="s">
        <v>36</v>
      </c>
      <c r="H2" s="13" t="s">
        <v>37</v>
      </c>
      <c r="I2" s="13" t="s">
        <v>40</v>
      </c>
      <c r="J2" s="13" t="s">
        <v>38</v>
      </c>
      <c r="K2" s="14" t="s">
        <v>39</v>
      </c>
    </row>
    <row r="3" spans="4:11" x14ac:dyDescent="0.25">
      <c r="D3" s="11">
        <v>101</v>
      </c>
      <c r="E3" s="11" t="s">
        <v>2</v>
      </c>
      <c r="F3" s="11" t="s">
        <v>3</v>
      </c>
      <c r="G3" s="11">
        <v>93</v>
      </c>
      <c r="H3" s="11">
        <v>76</v>
      </c>
      <c r="I3" s="11">
        <v>98</v>
      </c>
      <c r="J3" s="11">
        <v>91</v>
      </c>
      <c r="K3" s="11">
        <v>79</v>
      </c>
    </row>
    <row r="4" spans="4:11" x14ac:dyDescent="0.25">
      <c r="D4" s="1">
        <v>102</v>
      </c>
      <c r="E4" s="1" t="s">
        <v>4</v>
      </c>
      <c r="F4" s="1" t="s">
        <v>3</v>
      </c>
      <c r="G4" s="1">
        <v>91</v>
      </c>
      <c r="H4" s="1">
        <v>94</v>
      </c>
      <c r="I4" s="1">
        <v>89</v>
      </c>
      <c r="J4" s="1">
        <v>96</v>
      </c>
      <c r="K4" s="1">
        <v>87</v>
      </c>
    </row>
    <row r="5" spans="4:11" x14ac:dyDescent="0.25">
      <c r="D5" s="1">
        <v>103</v>
      </c>
      <c r="E5" s="1" t="s">
        <v>5</v>
      </c>
      <c r="F5" s="1" t="s">
        <v>3</v>
      </c>
      <c r="G5" s="1">
        <v>68</v>
      </c>
      <c r="H5" s="1">
        <v>72</v>
      </c>
      <c r="I5" s="1">
        <v>75</v>
      </c>
      <c r="J5" s="1">
        <v>70</v>
      </c>
      <c r="K5" s="1">
        <v>66</v>
      </c>
    </row>
    <row r="6" spans="4:11" x14ac:dyDescent="0.25">
      <c r="D6" s="1">
        <v>104</v>
      </c>
      <c r="E6" s="1" t="s">
        <v>6</v>
      </c>
      <c r="F6" s="1" t="s">
        <v>3</v>
      </c>
      <c r="G6" s="1">
        <v>55</v>
      </c>
      <c r="H6" s="1">
        <v>61</v>
      </c>
      <c r="I6" s="1">
        <v>58</v>
      </c>
      <c r="J6" s="1">
        <v>64</v>
      </c>
      <c r="K6" s="1">
        <v>60</v>
      </c>
    </row>
    <row r="7" spans="4:11" x14ac:dyDescent="0.25">
      <c r="D7" s="1">
        <v>105</v>
      </c>
      <c r="E7" s="1" t="s">
        <v>7</v>
      </c>
      <c r="F7" s="1" t="s">
        <v>3</v>
      </c>
      <c r="G7" s="1">
        <v>43</v>
      </c>
      <c r="H7" s="1">
        <v>49</v>
      </c>
      <c r="I7" s="1">
        <v>52</v>
      </c>
      <c r="J7" s="1">
        <v>46</v>
      </c>
      <c r="K7" s="1">
        <v>55</v>
      </c>
    </row>
    <row r="8" spans="4:11" x14ac:dyDescent="0.25">
      <c r="D8" s="1">
        <v>106</v>
      </c>
      <c r="E8" s="1" t="s">
        <v>8</v>
      </c>
      <c r="F8" s="1" t="s">
        <v>3</v>
      </c>
      <c r="G8" s="1">
        <v>78</v>
      </c>
      <c r="H8" s="1">
        <v>81</v>
      </c>
      <c r="I8" s="1">
        <v>74</v>
      </c>
      <c r="J8" s="1">
        <v>85</v>
      </c>
      <c r="K8" s="1">
        <v>80</v>
      </c>
    </row>
    <row r="9" spans="4:11" x14ac:dyDescent="0.25">
      <c r="D9" s="1">
        <v>107</v>
      </c>
      <c r="E9" s="1" t="s">
        <v>9</v>
      </c>
      <c r="F9" s="1" t="s">
        <v>3</v>
      </c>
      <c r="G9" s="1">
        <v>32</v>
      </c>
      <c r="H9" s="1">
        <v>38</v>
      </c>
      <c r="I9" s="1">
        <v>41</v>
      </c>
      <c r="J9" s="1">
        <v>35</v>
      </c>
      <c r="K9" s="1">
        <v>39</v>
      </c>
    </row>
    <row r="10" spans="4:11" x14ac:dyDescent="0.25">
      <c r="D10" s="1">
        <v>108</v>
      </c>
      <c r="E10" s="1" t="s">
        <v>10</v>
      </c>
      <c r="F10" s="1" t="s">
        <v>3</v>
      </c>
      <c r="G10" s="1">
        <v>88</v>
      </c>
      <c r="H10" s="1">
        <v>92</v>
      </c>
      <c r="I10" s="1">
        <v>85</v>
      </c>
      <c r="J10" s="1">
        <v>90</v>
      </c>
      <c r="K10" s="1">
        <v>94</v>
      </c>
    </row>
    <row r="11" spans="4:11" x14ac:dyDescent="0.25">
      <c r="D11" s="1">
        <v>109</v>
      </c>
      <c r="E11" s="1" t="s">
        <v>11</v>
      </c>
      <c r="F11" s="1" t="s">
        <v>3</v>
      </c>
      <c r="G11" s="1">
        <v>71</v>
      </c>
      <c r="H11" s="1">
        <v>65</v>
      </c>
      <c r="I11" s="1">
        <v>69</v>
      </c>
      <c r="J11" s="1">
        <v>74</v>
      </c>
      <c r="K11" s="1">
        <v>68</v>
      </c>
    </row>
    <row r="12" spans="4:11" x14ac:dyDescent="0.25">
      <c r="D12" s="1">
        <v>110</v>
      </c>
      <c r="E12" s="1" t="s">
        <v>12</v>
      </c>
      <c r="F12" s="1" t="s">
        <v>3</v>
      </c>
      <c r="G12" s="1">
        <v>59</v>
      </c>
      <c r="H12" s="1">
        <v>54</v>
      </c>
      <c r="I12" s="1">
        <v>62</v>
      </c>
      <c r="J12" s="1">
        <v>57</v>
      </c>
      <c r="K12" s="1">
        <v>61</v>
      </c>
    </row>
    <row r="13" spans="4:11" x14ac:dyDescent="0.25">
      <c r="D13" s="1">
        <v>111</v>
      </c>
      <c r="E13" s="1" t="s">
        <v>13</v>
      </c>
      <c r="F13" s="1" t="s">
        <v>14</v>
      </c>
      <c r="G13" s="1">
        <v>84</v>
      </c>
      <c r="H13" s="1">
        <v>79</v>
      </c>
      <c r="I13" s="1">
        <v>91</v>
      </c>
      <c r="J13" s="1">
        <v>87</v>
      </c>
      <c r="K13" s="1">
        <v>82</v>
      </c>
    </row>
    <row r="14" spans="4:11" x14ac:dyDescent="0.25">
      <c r="D14" s="1">
        <v>112</v>
      </c>
      <c r="E14" s="1" t="s">
        <v>15</v>
      </c>
      <c r="F14" s="1" t="s">
        <v>14</v>
      </c>
      <c r="G14" s="1">
        <v>73</v>
      </c>
      <c r="H14" s="1">
        <v>77</v>
      </c>
      <c r="I14" s="1">
        <v>70</v>
      </c>
      <c r="J14" s="1">
        <v>75</v>
      </c>
      <c r="K14" s="1">
        <v>79</v>
      </c>
    </row>
    <row r="15" spans="4:11" x14ac:dyDescent="0.25">
      <c r="D15" s="1">
        <v>113</v>
      </c>
      <c r="E15" s="1" t="s">
        <v>16</v>
      </c>
      <c r="F15" s="1" t="s">
        <v>14</v>
      </c>
      <c r="G15" s="1">
        <v>46</v>
      </c>
      <c r="H15" s="1">
        <v>52</v>
      </c>
      <c r="I15" s="1">
        <v>48</v>
      </c>
      <c r="J15" s="1">
        <v>55</v>
      </c>
      <c r="K15" s="1">
        <v>51</v>
      </c>
    </row>
    <row r="16" spans="4:11" x14ac:dyDescent="0.25">
      <c r="D16" s="1">
        <v>114</v>
      </c>
      <c r="E16" s="1" t="s">
        <v>17</v>
      </c>
      <c r="F16" s="1" t="s">
        <v>14</v>
      </c>
      <c r="G16" s="1">
        <v>95</v>
      </c>
      <c r="H16" s="1">
        <v>89</v>
      </c>
      <c r="I16" s="1">
        <v>93</v>
      </c>
      <c r="J16" s="1">
        <v>97</v>
      </c>
      <c r="K16" s="1">
        <v>91</v>
      </c>
    </row>
    <row r="17" spans="4:11" x14ac:dyDescent="0.25">
      <c r="D17" s="1">
        <v>115</v>
      </c>
      <c r="E17" s="1" t="s">
        <v>18</v>
      </c>
      <c r="F17" s="1" t="s">
        <v>14</v>
      </c>
      <c r="G17" s="1">
        <v>64</v>
      </c>
      <c r="H17" s="1">
        <v>69</v>
      </c>
      <c r="I17" s="1">
        <v>61</v>
      </c>
      <c r="J17" s="1">
        <v>67</v>
      </c>
      <c r="K17" s="1">
        <v>72</v>
      </c>
    </row>
    <row r="18" spans="4:11" x14ac:dyDescent="0.25">
      <c r="D18" s="1">
        <v>116</v>
      </c>
      <c r="E18" s="1" t="s">
        <v>19</v>
      </c>
      <c r="F18" s="1" t="s">
        <v>14</v>
      </c>
      <c r="G18" s="1">
        <v>81</v>
      </c>
      <c r="H18" s="1">
        <v>86</v>
      </c>
      <c r="I18" s="1">
        <v>83</v>
      </c>
      <c r="J18" s="1">
        <v>79</v>
      </c>
      <c r="K18" s="1">
        <v>88</v>
      </c>
    </row>
    <row r="19" spans="4:11" x14ac:dyDescent="0.25">
      <c r="D19" s="1">
        <v>117</v>
      </c>
      <c r="E19" s="1" t="s">
        <v>20</v>
      </c>
      <c r="F19" s="1" t="s">
        <v>14</v>
      </c>
      <c r="G19" s="1">
        <v>37</v>
      </c>
      <c r="H19" s="1">
        <v>42</v>
      </c>
      <c r="I19" s="1">
        <v>35</v>
      </c>
      <c r="J19" s="1">
        <v>44</v>
      </c>
      <c r="K19" s="1">
        <v>40</v>
      </c>
    </row>
    <row r="20" spans="4:11" x14ac:dyDescent="0.25">
      <c r="D20" s="1">
        <v>118</v>
      </c>
      <c r="E20" s="1" t="s">
        <v>21</v>
      </c>
      <c r="F20" s="1" t="s">
        <v>14</v>
      </c>
      <c r="G20" s="1">
        <v>69</v>
      </c>
      <c r="H20" s="1">
        <v>74</v>
      </c>
      <c r="I20" s="1">
        <v>78</v>
      </c>
      <c r="J20" s="1">
        <v>71</v>
      </c>
      <c r="K20" s="1">
        <v>76</v>
      </c>
    </row>
    <row r="21" spans="4:11" x14ac:dyDescent="0.25">
      <c r="D21" s="1">
        <v>119</v>
      </c>
      <c r="E21" s="1" t="s">
        <v>22</v>
      </c>
      <c r="F21" s="1" t="s">
        <v>14</v>
      </c>
      <c r="G21" s="1">
        <v>53</v>
      </c>
      <c r="H21" s="1">
        <v>58</v>
      </c>
      <c r="I21" s="1">
        <v>55</v>
      </c>
      <c r="J21" s="1">
        <v>60</v>
      </c>
      <c r="K21" s="1">
        <v>57</v>
      </c>
    </row>
    <row r="22" spans="4:11" x14ac:dyDescent="0.25">
      <c r="D22" s="1">
        <v>120</v>
      </c>
      <c r="E22" s="1" t="s">
        <v>23</v>
      </c>
      <c r="F22" s="1" t="s">
        <v>14</v>
      </c>
      <c r="G22" s="1">
        <v>89</v>
      </c>
      <c r="H22" s="1">
        <v>91</v>
      </c>
      <c r="I22" s="1">
        <v>87</v>
      </c>
      <c r="J22" s="1">
        <v>93</v>
      </c>
      <c r="K22" s="1">
        <v>90</v>
      </c>
    </row>
    <row r="23" spans="4:11" x14ac:dyDescent="0.25">
      <c r="D23" s="1">
        <v>121</v>
      </c>
      <c r="E23" s="1" t="s">
        <v>24</v>
      </c>
      <c r="F23" s="1" t="s">
        <v>25</v>
      </c>
      <c r="G23" s="1">
        <v>76</v>
      </c>
      <c r="H23" s="1">
        <v>82</v>
      </c>
      <c r="I23" s="1">
        <v>79</v>
      </c>
      <c r="J23" s="1">
        <v>84</v>
      </c>
      <c r="K23" s="1">
        <v>77</v>
      </c>
    </row>
    <row r="24" spans="4:11" x14ac:dyDescent="0.25">
      <c r="D24" s="1">
        <v>122</v>
      </c>
      <c r="E24" s="1" t="s">
        <v>26</v>
      </c>
      <c r="F24" s="1" t="s">
        <v>25</v>
      </c>
      <c r="G24" s="1">
        <v>62</v>
      </c>
      <c r="H24" s="1">
        <v>67</v>
      </c>
      <c r="I24" s="1">
        <v>64</v>
      </c>
      <c r="J24" s="1">
        <v>69</v>
      </c>
      <c r="K24" s="1">
        <v>65</v>
      </c>
    </row>
    <row r="25" spans="4:11" x14ac:dyDescent="0.25">
      <c r="D25" s="1">
        <v>123</v>
      </c>
      <c r="E25" s="1" t="s">
        <v>27</v>
      </c>
      <c r="F25" s="1" t="s">
        <v>25</v>
      </c>
      <c r="G25" s="1">
        <v>48</v>
      </c>
      <c r="H25" s="1">
        <v>45</v>
      </c>
      <c r="I25" s="1">
        <v>51</v>
      </c>
      <c r="J25" s="1">
        <v>43</v>
      </c>
      <c r="K25" s="1">
        <v>50</v>
      </c>
    </row>
    <row r="26" spans="4:11" x14ac:dyDescent="0.25">
      <c r="D26" s="1">
        <v>124</v>
      </c>
      <c r="E26" s="1" t="s">
        <v>28</v>
      </c>
      <c r="F26" s="1" t="s">
        <v>25</v>
      </c>
      <c r="G26" s="1">
        <v>93</v>
      </c>
      <c r="H26" s="1">
        <v>96</v>
      </c>
      <c r="I26" s="1">
        <v>91</v>
      </c>
      <c r="J26" s="1">
        <v>94</v>
      </c>
      <c r="K26" s="1">
        <v>97</v>
      </c>
    </row>
    <row r="27" spans="4:11" x14ac:dyDescent="0.25">
      <c r="D27" s="1">
        <v>125</v>
      </c>
      <c r="E27" s="1" t="s">
        <v>29</v>
      </c>
      <c r="F27" s="1" t="s">
        <v>25</v>
      </c>
      <c r="G27" s="1">
        <v>57</v>
      </c>
      <c r="H27" s="1">
        <v>63</v>
      </c>
      <c r="I27" s="1">
        <v>59</v>
      </c>
      <c r="J27" s="1">
        <v>61</v>
      </c>
      <c r="K27" s="1">
        <v>56</v>
      </c>
    </row>
    <row r="28" spans="4:11" x14ac:dyDescent="0.25">
      <c r="D28" s="1">
        <v>126</v>
      </c>
      <c r="E28" s="1" t="s">
        <v>30</v>
      </c>
      <c r="F28" s="1" t="s">
        <v>25</v>
      </c>
      <c r="G28" s="1">
        <v>85</v>
      </c>
      <c r="H28" s="1">
        <v>88</v>
      </c>
      <c r="I28" s="1">
        <v>82</v>
      </c>
      <c r="J28" s="1">
        <v>90</v>
      </c>
      <c r="K28" s="1">
        <v>86</v>
      </c>
    </row>
    <row r="29" spans="4:11" x14ac:dyDescent="0.25">
      <c r="D29" s="1">
        <v>127</v>
      </c>
      <c r="E29" s="1" t="s">
        <v>31</v>
      </c>
      <c r="F29" s="1" t="s">
        <v>25</v>
      </c>
      <c r="G29" s="1">
        <v>34</v>
      </c>
      <c r="H29" s="1">
        <v>31</v>
      </c>
      <c r="I29" s="1">
        <v>43</v>
      </c>
      <c r="J29" s="1">
        <v>36</v>
      </c>
      <c r="K29" s="1">
        <v>33</v>
      </c>
    </row>
    <row r="30" spans="4:11" x14ac:dyDescent="0.25">
      <c r="D30" s="1">
        <v>128</v>
      </c>
      <c r="E30" s="1" t="s">
        <v>32</v>
      </c>
      <c r="F30" s="1" t="s">
        <v>25</v>
      </c>
      <c r="G30" s="1">
        <v>72</v>
      </c>
      <c r="H30" s="1">
        <v>78</v>
      </c>
      <c r="I30" s="1">
        <v>74</v>
      </c>
      <c r="J30" s="1">
        <v>80</v>
      </c>
      <c r="K30" s="1">
        <v>76</v>
      </c>
    </row>
    <row r="31" spans="4:11" x14ac:dyDescent="0.25">
      <c r="D31" s="1">
        <v>129</v>
      </c>
      <c r="E31" s="1" t="s">
        <v>33</v>
      </c>
      <c r="F31" s="1" t="s">
        <v>25</v>
      </c>
      <c r="G31" s="1">
        <v>66</v>
      </c>
      <c r="H31" s="1">
        <v>71</v>
      </c>
      <c r="I31" s="1">
        <v>68</v>
      </c>
      <c r="J31" s="1">
        <v>73</v>
      </c>
      <c r="K31" s="1">
        <v>70</v>
      </c>
    </row>
    <row r="32" spans="4:11" x14ac:dyDescent="0.25">
      <c r="D32" s="1">
        <v>130</v>
      </c>
      <c r="E32" s="1" t="s">
        <v>34</v>
      </c>
      <c r="F32" s="1" t="s">
        <v>25</v>
      </c>
      <c r="G32" s="1">
        <v>98</v>
      </c>
      <c r="H32" s="1">
        <v>94</v>
      </c>
      <c r="I32" s="1">
        <v>96</v>
      </c>
      <c r="J32" s="1">
        <v>99</v>
      </c>
      <c r="K32" s="1">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2D9DB-4101-409B-AD09-9A244D3D9CED}">
  <sheetPr>
    <tabColor theme="4" tint="0.79998168889431442"/>
  </sheetPr>
  <dimension ref="F3:Q33"/>
  <sheetViews>
    <sheetView topLeftCell="D1" zoomScale="60" zoomScaleNormal="60" workbookViewId="0">
      <selection activeCell="I3" sqref="I3:M3"/>
    </sheetView>
  </sheetViews>
  <sheetFormatPr defaultRowHeight="15" x14ac:dyDescent="0.25"/>
  <cols>
    <col min="5" max="5" width="9.7109375" customWidth="1"/>
    <col min="6" max="6" width="17.85546875" customWidth="1"/>
    <col min="7" max="7" width="25.42578125" customWidth="1"/>
    <col min="8" max="8" width="16.28515625" customWidth="1"/>
    <col min="9" max="9" width="27.7109375" customWidth="1"/>
    <col min="10" max="10" width="26.140625" customWidth="1"/>
    <col min="11" max="11" width="28.42578125" customWidth="1"/>
    <col min="12" max="12" width="25.140625" customWidth="1"/>
    <col min="13" max="13" width="31.5703125" customWidth="1"/>
    <col min="14" max="14" width="24.28515625" customWidth="1"/>
    <col min="15" max="15" width="23.85546875" customWidth="1"/>
    <col min="16" max="16" width="17.42578125" customWidth="1"/>
    <col min="17" max="17" width="15.5703125" customWidth="1"/>
  </cols>
  <sheetData>
    <row r="3" spans="6:17" ht="18.75" x14ac:dyDescent="0.3">
      <c r="F3" s="5" t="s">
        <v>0</v>
      </c>
      <c r="G3" s="6" t="s">
        <v>1</v>
      </c>
      <c r="H3" s="6" t="s">
        <v>35</v>
      </c>
      <c r="I3" s="6" t="s">
        <v>36</v>
      </c>
      <c r="J3" s="6" t="s">
        <v>37</v>
      </c>
      <c r="K3" s="6" t="s">
        <v>40</v>
      </c>
      <c r="L3" s="6" t="s">
        <v>38</v>
      </c>
      <c r="M3" s="6" t="s">
        <v>39</v>
      </c>
      <c r="N3" s="6" t="s">
        <v>41</v>
      </c>
      <c r="O3" s="6" t="s">
        <v>44</v>
      </c>
      <c r="P3" s="6" t="s">
        <v>42</v>
      </c>
      <c r="Q3" s="7" t="s">
        <v>43</v>
      </c>
    </row>
    <row r="4" spans="6:17" x14ac:dyDescent="0.25">
      <c r="F4" s="3">
        <v>101</v>
      </c>
      <c r="G4" s="2" t="s">
        <v>2</v>
      </c>
      <c r="H4" s="2" t="s">
        <v>3</v>
      </c>
      <c r="I4" s="2">
        <v>93</v>
      </c>
      <c r="J4" s="2">
        <v>76</v>
      </c>
      <c r="K4" s="2">
        <v>98</v>
      </c>
      <c r="L4" s="2">
        <v>91</v>
      </c>
      <c r="M4" s="2">
        <v>79</v>
      </c>
      <c r="N4" s="2">
        <f>SUM(Marksheet_Table[[#This Row],[Business English]:[Business Economics]])</f>
        <v>437</v>
      </c>
      <c r="O4" s="22">
        <f>Marksheet_Table[[#This Row],[Total Marks  ]]/500*100</f>
        <v>87.4</v>
      </c>
      <c r="P4" s="2" t="str">
        <f>IF(Marksheet_Table[[#This Row],[Percentage %]]&gt;=90,"A+",IF(Marksheet_Table[[#This Row],[Percentage %]]&gt;=80,"A",IF(Marksheet_Table[[#This Row],[Percentage %]]&gt;=70,"B",IF(Marksheet_Table[[#This Row],[Percentage %]]&gt;=60,"C",IF(Marksheet_Table[[#This Row],[Percentage %]]&gt;=50,"D","F")))))</f>
        <v>A</v>
      </c>
      <c r="Q4" s="4" t="str">
        <f>IF(Marksheet_Table[[#This Row],[Percentage %]]&gt;=50,"Pass","Fail")</f>
        <v>Pass</v>
      </c>
    </row>
    <row r="5" spans="6:17" x14ac:dyDescent="0.25">
      <c r="F5" s="3">
        <v>102</v>
      </c>
      <c r="G5" s="2" t="s">
        <v>4</v>
      </c>
      <c r="H5" s="2" t="s">
        <v>3</v>
      </c>
      <c r="I5" s="2">
        <v>91</v>
      </c>
      <c r="J5" s="2">
        <v>94</v>
      </c>
      <c r="K5" s="2">
        <v>89</v>
      </c>
      <c r="L5" s="2">
        <v>96</v>
      </c>
      <c r="M5" s="2">
        <v>87</v>
      </c>
      <c r="N5" s="2">
        <f>SUM(Marksheet_Table[[#This Row],[Business English]:[Business Economics]])</f>
        <v>457</v>
      </c>
      <c r="O5" s="22">
        <f>Marksheet_Table[[#This Row],[Total Marks  ]]/500*100</f>
        <v>91.4</v>
      </c>
      <c r="P5" s="2" t="str">
        <f>IF(Marksheet_Table[[#This Row],[Percentage %]]&gt;=90,"A+",IF(Marksheet_Table[[#This Row],[Percentage %]]&gt;=80,"A",IF(Marksheet_Table[[#This Row],[Percentage %]]&gt;=70,"B",IF(Marksheet_Table[[#This Row],[Percentage %]]&gt;=60,"C",IF(Marksheet_Table[[#This Row],[Percentage %]]&gt;=50,"D","F")))))</f>
        <v>A+</v>
      </c>
      <c r="Q5" s="4" t="str">
        <f>IF(Marksheet_Table[[#This Row],[Percentage %]]&gt;=50,"Pass","Fail")</f>
        <v>Pass</v>
      </c>
    </row>
    <row r="6" spans="6:17" x14ac:dyDescent="0.25">
      <c r="F6" s="3">
        <v>103</v>
      </c>
      <c r="G6" s="2" t="s">
        <v>5</v>
      </c>
      <c r="H6" s="2" t="s">
        <v>3</v>
      </c>
      <c r="I6" s="2">
        <v>68</v>
      </c>
      <c r="J6" s="2">
        <v>72</v>
      </c>
      <c r="K6" s="2">
        <v>75</v>
      </c>
      <c r="L6" s="2">
        <v>70</v>
      </c>
      <c r="M6" s="2">
        <v>66</v>
      </c>
      <c r="N6" s="2">
        <f>SUM(Marksheet_Table[[#This Row],[Business English]:[Business Economics]])</f>
        <v>351</v>
      </c>
      <c r="O6" s="22">
        <f>Marksheet_Table[[#This Row],[Total Marks  ]]/500*100</f>
        <v>70.199999999999989</v>
      </c>
      <c r="P6" s="2" t="str">
        <f>IF(Marksheet_Table[[#This Row],[Percentage %]]&gt;=90,"A+",IF(Marksheet_Table[[#This Row],[Percentage %]]&gt;=80,"A",IF(Marksheet_Table[[#This Row],[Percentage %]]&gt;=70,"B",IF(Marksheet_Table[[#This Row],[Percentage %]]&gt;=60,"C",IF(Marksheet_Table[[#This Row],[Percentage %]]&gt;=50,"D","F")))))</f>
        <v>B</v>
      </c>
      <c r="Q6" s="4" t="str">
        <f>IF(Marksheet_Table[[#This Row],[Percentage %]]&gt;=50,"Pass","Fail")</f>
        <v>Pass</v>
      </c>
    </row>
    <row r="7" spans="6:17" x14ac:dyDescent="0.25">
      <c r="F7" s="3">
        <v>104</v>
      </c>
      <c r="G7" s="2" t="s">
        <v>6</v>
      </c>
      <c r="H7" s="2" t="s">
        <v>3</v>
      </c>
      <c r="I7" s="2">
        <v>55</v>
      </c>
      <c r="J7" s="2">
        <v>61</v>
      </c>
      <c r="K7" s="2">
        <v>58</v>
      </c>
      <c r="L7" s="2">
        <v>64</v>
      </c>
      <c r="M7" s="2">
        <v>60</v>
      </c>
      <c r="N7" s="2">
        <f>SUM(Marksheet_Table[[#This Row],[Business English]:[Business Economics]])</f>
        <v>298</v>
      </c>
      <c r="O7" s="22">
        <f>Marksheet_Table[[#This Row],[Total Marks  ]]/500*100</f>
        <v>59.599999999999994</v>
      </c>
      <c r="P7" s="2" t="str">
        <f>IF(Marksheet_Table[[#This Row],[Percentage %]]&gt;=90,"A+",IF(Marksheet_Table[[#This Row],[Percentage %]]&gt;=80,"A",IF(Marksheet_Table[[#This Row],[Percentage %]]&gt;=70,"B",IF(Marksheet_Table[[#This Row],[Percentage %]]&gt;=60,"C",IF(Marksheet_Table[[#This Row],[Percentage %]]&gt;=50,"D","F")))))</f>
        <v>D</v>
      </c>
      <c r="Q7" s="4" t="str">
        <f>IF(Marksheet_Table[[#This Row],[Percentage %]]&gt;=50,"Pass","Fail")</f>
        <v>Pass</v>
      </c>
    </row>
    <row r="8" spans="6:17" x14ac:dyDescent="0.25">
      <c r="F8" s="3">
        <v>105</v>
      </c>
      <c r="G8" s="2" t="s">
        <v>7</v>
      </c>
      <c r="H8" s="2" t="s">
        <v>3</v>
      </c>
      <c r="I8" s="2">
        <v>43</v>
      </c>
      <c r="J8" s="2">
        <v>49</v>
      </c>
      <c r="K8" s="2">
        <v>52</v>
      </c>
      <c r="L8" s="2">
        <v>46</v>
      </c>
      <c r="M8" s="2">
        <v>55</v>
      </c>
      <c r="N8" s="2">
        <f>SUM(Marksheet_Table[[#This Row],[Business English]:[Business Economics]])</f>
        <v>245</v>
      </c>
      <c r="O8" s="22">
        <f>Marksheet_Table[[#This Row],[Total Marks  ]]/500*100</f>
        <v>49</v>
      </c>
      <c r="P8" s="2" t="str">
        <f>IF(Marksheet_Table[[#This Row],[Percentage %]]&gt;=90,"A+",IF(Marksheet_Table[[#This Row],[Percentage %]]&gt;=80,"A",IF(Marksheet_Table[[#This Row],[Percentage %]]&gt;=70,"B",IF(Marksheet_Table[[#This Row],[Percentage %]]&gt;=60,"C",IF(Marksheet_Table[[#This Row],[Percentage %]]&gt;=50,"D","F")))))</f>
        <v>F</v>
      </c>
      <c r="Q8" s="4" t="str">
        <f>IF(Marksheet_Table[[#This Row],[Percentage %]]&gt;=50,"Pass","Fail")</f>
        <v>Fail</v>
      </c>
    </row>
    <row r="9" spans="6:17" x14ac:dyDescent="0.25">
      <c r="F9" s="3">
        <v>106</v>
      </c>
      <c r="G9" s="2" t="s">
        <v>8</v>
      </c>
      <c r="H9" s="2" t="s">
        <v>3</v>
      </c>
      <c r="I9" s="2">
        <v>78</v>
      </c>
      <c r="J9" s="2">
        <v>81</v>
      </c>
      <c r="K9" s="2">
        <v>74</v>
      </c>
      <c r="L9" s="2">
        <v>85</v>
      </c>
      <c r="M9" s="2">
        <v>80</v>
      </c>
      <c r="N9" s="2">
        <f>SUM(Marksheet_Table[[#This Row],[Business English]:[Business Economics]])</f>
        <v>398</v>
      </c>
      <c r="O9" s="22">
        <f>Marksheet_Table[[#This Row],[Total Marks  ]]/500*100</f>
        <v>79.600000000000009</v>
      </c>
      <c r="P9" s="2" t="str">
        <f>IF(Marksheet_Table[[#This Row],[Percentage %]]&gt;=90,"A+",IF(Marksheet_Table[[#This Row],[Percentage %]]&gt;=80,"A",IF(Marksheet_Table[[#This Row],[Percentage %]]&gt;=70,"B",IF(Marksheet_Table[[#This Row],[Percentage %]]&gt;=60,"C",IF(Marksheet_Table[[#This Row],[Percentage %]]&gt;=50,"D","F")))))</f>
        <v>B</v>
      </c>
      <c r="Q9" s="4" t="str">
        <f>IF(Marksheet_Table[[#This Row],[Percentage %]]&gt;=50,"Pass","Fail")</f>
        <v>Pass</v>
      </c>
    </row>
    <row r="10" spans="6:17" x14ac:dyDescent="0.25">
      <c r="F10" s="3">
        <v>107</v>
      </c>
      <c r="G10" s="2" t="s">
        <v>9</v>
      </c>
      <c r="H10" s="2" t="s">
        <v>3</v>
      </c>
      <c r="I10" s="2">
        <v>32</v>
      </c>
      <c r="J10" s="2">
        <v>38</v>
      </c>
      <c r="K10" s="2">
        <v>41</v>
      </c>
      <c r="L10" s="2">
        <v>35</v>
      </c>
      <c r="M10" s="2">
        <v>39</v>
      </c>
      <c r="N10" s="2">
        <f>SUM(Marksheet_Table[[#This Row],[Business English]:[Business Economics]])</f>
        <v>185</v>
      </c>
      <c r="O10" s="22">
        <f>Marksheet_Table[[#This Row],[Total Marks  ]]/500*100</f>
        <v>37</v>
      </c>
      <c r="P10" s="2" t="str">
        <f>IF(Marksheet_Table[[#This Row],[Percentage %]]&gt;=90,"A+",IF(Marksheet_Table[[#This Row],[Percentage %]]&gt;=80,"A",IF(Marksheet_Table[[#This Row],[Percentage %]]&gt;=70,"B",IF(Marksheet_Table[[#This Row],[Percentage %]]&gt;=60,"C",IF(Marksheet_Table[[#This Row],[Percentage %]]&gt;=50,"D","F")))))</f>
        <v>F</v>
      </c>
      <c r="Q10" s="4" t="str">
        <f>IF(Marksheet_Table[[#This Row],[Percentage %]]&gt;=50,"Pass","Fail")</f>
        <v>Fail</v>
      </c>
    </row>
    <row r="11" spans="6:17" x14ac:dyDescent="0.25">
      <c r="F11" s="3">
        <v>108</v>
      </c>
      <c r="G11" s="2" t="s">
        <v>10</v>
      </c>
      <c r="H11" s="2" t="s">
        <v>3</v>
      </c>
      <c r="I11" s="2">
        <v>88</v>
      </c>
      <c r="J11" s="2">
        <v>92</v>
      </c>
      <c r="K11" s="2">
        <v>85</v>
      </c>
      <c r="L11" s="2">
        <v>90</v>
      </c>
      <c r="M11" s="2">
        <v>94</v>
      </c>
      <c r="N11" s="2">
        <f>SUM(Marksheet_Table[[#This Row],[Business English]:[Business Economics]])</f>
        <v>449</v>
      </c>
      <c r="O11" s="22">
        <f>Marksheet_Table[[#This Row],[Total Marks  ]]/500*100</f>
        <v>89.8</v>
      </c>
      <c r="P11" s="2" t="str">
        <f>IF(Marksheet_Table[[#This Row],[Percentage %]]&gt;=90,"A+",IF(Marksheet_Table[[#This Row],[Percentage %]]&gt;=80,"A",IF(Marksheet_Table[[#This Row],[Percentage %]]&gt;=70,"B",IF(Marksheet_Table[[#This Row],[Percentage %]]&gt;=60,"C",IF(Marksheet_Table[[#This Row],[Percentage %]]&gt;=50,"D","F")))))</f>
        <v>A</v>
      </c>
      <c r="Q11" s="4" t="str">
        <f>IF(Marksheet_Table[[#This Row],[Percentage %]]&gt;=50,"Pass","Fail")</f>
        <v>Pass</v>
      </c>
    </row>
    <row r="12" spans="6:17" x14ac:dyDescent="0.25">
      <c r="F12" s="3">
        <v>109</v>
      </c>
      <c r="G12" s="2" t="s">
        <v>11</v>
      </c>
      <c r="H12" s="2" t="s">
        <v>3</v>
      </c>
      <c r="I12" s="2">
        <v>71</v>
      </c>
      <c r="J12" s="2">
        <v>65</v>
      </c>
      <c r="K12" s="2">
        <v>69</v>
      </c>
      <c r="L12" s="2">
        <v>74</v>
      </c>
      <c r="M12" s="2">
        <v>68</v>
      </c>
      <c r="N12" s="2">
        <f>SUM(Marksheet_Table[[#This Row],[Business English]:[Business Economics]])</f>
        <v>347</v>
      </c>
      <c r="O12" s="22">
        <f>Marksheet_Table[[#This Row],[Total Marks  ]]/500*100</f>
        <v>69.399999999999991</v>
      </c>
      <c r="P12" s="2" t="str">
        <f>IF(Marksheet_Table[[#This Row],[Percentage %]]&gt;=90,"A+",IF(Marksheet_Table[[#This Row],[Percentage %]]&gt;=80,"A",IF(Marksheet_Table[[#This Row],[Percentage %]]&gt;=70,"B",IF(Marksheet_Table[[#This Row],[Percentage %]]&gt;=60,"C",IF(Marksheet_Table[[#This Row],[Percentage %]]&gt;=50,"D","F")))))</f>
        <v>C</v>
      </c>
      <c r="Q12" s="4" t="str">
        <f>IF(Marksheet_Table[[#This Row],[Percentage %]]&gt;=50,"Pass","Fail")</f>
        <v>Pass</v>
      </c>
    </row>
    <row r="13" spans="6:17" x14ac:dyDescent="0.25">
      <c r="F13" s="3">
        <v>110</v>
      </c>
      <c r="G13" s="2" t="s">
        <v>12</v>
      </c>
      <c r="H13" s="2" t="s">
        <v>3</v>
      </c>
      <c r="I13" s="2">
        <v>59</v>
      </c>
      <c r="J13" s="2">
        <v>54</v>
      </c>
      <c r="K13" s="2">
        <v>62</v>
      </c>
      <c r="L13" s="2">
        <v>57</v>
      </c>
      <c r="M13" s="2">
        <v>61</v>
      </c>
      <c r="N13" s="2">
        <f>SUM(Marksheet_Table[[#This Row],[Business English]:[Business Economics]])</f>
        <v>293</v>
      </c>
      <c r="O13" s="22">
        <f>Marksheet_Table[[#This Row],[Total Marks  ]]/500*100</f>
        <v>58.599999999999994</v>
      </c>
      <c r="P13" s="2" t="str">
        <f>IF(Marksheet_Table[[#This Row],[Percentage %]]&gt;=90,"A+",IF(Marksheet_Table[[#This Row],[Percentage %]]&gt;=80,"A",IF(Marksheet_Table[[#This Row],[Percentage %]]&gt;=70,"B",IF(Marksheet_Table[[#This Row],[Percentage %]]&gt;=60,"C",IF(Marksheet_Table[[#This Row],[Percentage %]]&gt;=50,"D","F")))))</f>
        <v>D</v>
      </c>
      <c r="Q13" s="4" t="str">
        <f>IF(Marksheet_Table[[#This Row],[Percentage %]]&gt;=50,"Pass","Fail")</f>
        <v>Pass</v>
      </c>
    </row>
    <row r="14" spans="6:17" x14ac:dyDescent="0.25">
      <c r="F14" s="3">
        <v>111</v>
      </c>
      <c r="G14" s="2" t="s">
        <v>13</v>
      </c>
      <c r="H14" s="2" t="s">
        <v>14</v>
      </c>
      <c r="I14" s="2">
        <v>84</v>
      </c>
      <c r="J14" s="2">
        <v>79</v>
      </c>
      <c r="K14" s="2">
        <v>91</v>
      </c>
      <c r="L14" s="2">
        <v>87</v>
      </c>
      <c r="M14" s="2">
        <v>82</v>
      </c>
      <c r="N14" s="2">
        <f>SUM(Marksheet_Table[[#This Row],[Business English]:[Business Economics]])</f>
        <v>423</v>
      </c>
      <c r="O14" s="22">
        <f>Marksheet_Table[[#This Row],[Total Marks  ]]/500*100</f>
        <v>84.6</v>
      </c>
      <c r="P14" s="2" t="str">
        <f>IF(Marksheet_Table[[#This Row],[Percentage %]]&gt;=90,"A+",IF(Marksheet_Table[[#This Row],[Percentage %]]&gt;=80,"A",IF(Marksheet_Table[[#This Row],[Percentage %]]&gt;=70,"B",IF(Marksheet_Table[[#This Row],[Percentage %]]&gt;=60,"C",IF(Marksheet_Table[[#This Row],[Percentage %]]&gt;=50,"D","F")))))</f>
        <v>A</v>
      </c>
      <c r="Q14" s="4" t="str">
        <f>IF(Marksheet_Table[[#This Row],[Percentage %]]&gt;=50,"Pass","Fail")</f>
        <v>Pass</v>
      </c>
    </row>
    <row r="15" spans="6:17" x14ac:dyDescent="0.25">
      <c r="F15" s="3">
        <v>112</v>
      </c>
      <c r="G15" s="2" t="s">
        <v>15</v>
      </c>
      <c r="H15" s="2" t="s">
        <v>14</v>
      </c>
      <c r="I15" s="2">
        <v>73</v>
      </c>
      <c r="J15" s="2">
        <v>77</v>
      </c>
      <c r="K15" s="2">
        <v>70</v>
      </c>
      <c r="L15" s="2">
        <v>75</v>
      </c>
      <c r="M15" s="2">
        <v>79</v>
      </c>
      <c r="N15" s="2">
        <f>SUM(Marksheet_Table[[#This Row],[Business English]:[Business Economics]])</f>
        <v>374</v>
      </c>
      <c r="O15" s="22">
        <f>Marksheet_Table[[#This Row],[Total Marks  ]]/500*100</f>
        <v>74.8</v>
      </c>
      <c r="P15" s="2" t="str">
        <f>IF(Marksheet_Table[[#This Row],[Percentage %]]&gt;=90,"A+",IF(Marksheet_Table[[#This Row],[Percentage %]]&gt;=80,"A",IF(Marksheet_Table[[#This Row],[Percentage %]]&gt;=70,"B",IF(Marksheet_Table[[#This Row],[Percentage %]]&gt;=60,"C",IF(Marksheet_Table[[#This Row],[Percentage %]]&gt;=50,"D","F")))))</f>
        <v>B</v>
      </c>
      <c r="Q15" s="4" t="str">
        <f>IF(Marksheet_Table[[#This Row],[Percentage %]]&gt;=50,"Pass","Fail")</f>
        <v>Pass</v>
      </c>
    </row>
    <row r="16" spans="6:17" x14ac:dyDescent="0.25">
      <c r="F16" s="3">
        <v>113</v>
      </c>
      <c r="G16" s="2" t="s">
        <v>16</v>
      </c>
      <c r="H16" s="2" t="s">
        <v>14</v>
      </c>
      <c r="I16" s="2">
        <v>46</v>
      </c>
      <c r="J16" s="2">
        <v>52</v>
      </c>
      <c r="K16" s="2">
        <v>48</v>
      </c>
      <c r="L16" s="2">
        <v>55</v>
      </c>
      <c r="M16" s="2">
        <v>51</v>
      </c>
      <c r="N16" s="2">
        <f>SUM(Marksheet_Table[[#This Row],[Business English]:[Business Economics]])</f>
        <v>252</v>
      </c>
      <c r="O16" s="22">
        <f>Marksheet_Table[[#This Row],[Total Marks  ]]/500*100</f>
        <v>50.4</v>
      </c>
      <c r="P16" s="2" t="str">
        <f>IF(Marksheet_Table[[#This Row],[Percentage %]]&gt;=90,"A+",IF(Marksheet_Table[[#This Row],[Percentage %]]&gt;=80,"A",IF(Marksheet_Table[[#This Row],[Percentage %]]&gt;=70,"B",IF(Marksheet_Table[[#This Row],[Percentage %]]&gt;=60,"C",IF(Marksheet_Table[[#This Row],[Percentage %]]&gt;=50,"D","F")))))</f>
        <v>D</v>
      </c>
      <c r="Q16" s="4" t="str">
        <f>IF(Marksheet_Table[[#This Row],[Percentage %]]&gt;=50,"Pass","Fail")</f>
        <v>Pass</v>
      </c>
    </row>
    <row r="17" spans="6:17" x14ac:dyDescent="0.25">
      <c r="F17" s="3">
        <v>114</v>
      </c>
      <c r="G17" s="2" t="s">
        <v>17</v>
      </c>
      <c r="H17" s="2" t="s">
        <v>14</v>
      </c>
      <c r="I17" s="2">
        <v>95</v>
      </c>
      <c r="J17" s="2">
        <v>89</v>
      </c>
      <c r="K17" s="2">
        <v>93</v>
      </c>
      <c r="L17" s="2">
        <v>97</v>
      </c>
      <c r="M17" s="2">
        <v>91</v>
      </c>
      <c r="N17" s="2">
        <f>SUM(Marksheet_Table[[#This Row],[Business English]:[Business Economics]])</f>
        <v>465</v>
      </c>
      <c r="O17" s="22">
        <f>Marksheet_Table[[#This Row],[Total Marks  ]]/500*100</f>
        <v>93</v>
      </c>
      <c r="P17" s="2" t="str">
        <f>IF(Marksheet_Table[[#This Row],[Percentage %]]&gt;=90,"A+",IF(Marksheet_Table[[#This Row],[Percentage %]]&gt;=80,"A",IF(Marksheet_Table[[#This Row],[Percentage %]]&gt;=70,"B",IF(Marksheet_Table[[#This Row],[Percentage %]]&gt;=60,"C",IF(Marksheet_Table[[#This Row],[Percentage %]]&gt;=50,"D","F")))))</f>
        <v>A+</v>
      </c>
      <c r="Q17" s="4" t="str">
        <f>IF(Marksheet_Table[[#This Row],[Percentage %]]&gt;=50,"Pass","Fail")</f>
        <v>Pass</v>
      </c>
    </row>
    <row r="18" spans="6:17" x14ac:dyDescent="0.25">
      <c r="F18" s="3">
        <v>115</v>
      </c>
      <c r="G18" s="2" t="s">
        <v>18</v>
      </c>
      <c r="H18" s="2" t="s">
        <v>14</v>
      </c>
      <c r="I18" s="2">
        <v>64</v>
      </c>
      <c r="J18" s="2">
        <v>69</v>
      </c>
      <c r="K18" s="2">
        <v>61</v>
      </c>
      <c r="L18" s="2">
        <v>67</v>
      </c>
      <c r="M18" s="2">
        <v>72</v>
      </c>
      <c r="N18" s="2">
        <f>SUM(Marksheet_Table[[#This Row],[Business English]:[Business Economics]])</f>
        <v>333</v>
      </c>
      <c r="O18" s="22">
        <f>Marksheet_Table[[#This Row],[Total Marks  ]]/500*100</f>
        <v>66.600000000000009</v>
      </c>
      <c r="P18" s="2" t="str">
        <f>IF(Marksheet_Table[[#This Row],[Percentage %]]&gt;=90,"A+",IF(Marksheet_Table[[#This Row],[Percentage %]]&gt;=80,"A",IF(Marksheet_Table[[#This Row],[Percentage %]]&gt;=70,"B",IF(Marksheet_Table[[#This Row],[Percentage %]]&gt;=60,"C",IF(Marksheet_Table[[#This Row],[Percentage %]]&gt;=50,"D","F")))))</f>
        <v>C</v>
      </c>
      <c r="Q18" s="4" t="str">
        <f>IF(Marksheet_Table[[#This Row],[Percentage %]]&gt;=50,"Pass","Fail")</f>
        <v>Pass</v>
      </c>
    </row>
    <row r="19" spans="6:17" x14ac:dyDescent="0.25">
      <c r="F19" s="3">
        <v>116</v>
      </c>
      <c r="G19" s="2" t="s">
        <v>19</v>
      </c>
      <c r="H19" s="2" t="s">
        <v>14</v>
      </c>
      <c r="I19" s="2">
        <v>81</v>
      </c>
      <c r="J19" s="2">
        <v>86</v>
      </c>
      <c r="K19" s="2">
        <v>83</v>
      </c>
      <c r="L19" s="2">
        <v>79</v>
      </c>
      <c r="M19" s="2">
        <v>88</v>
      </c>
      <c r="N19" s="2">
        <f>SUM(Marksheet_Table[[#This Row],[Business English]:[Business Economics]])</f>
        <v>417</v>
      </c>
      <c r="O19" s="22">
        <f>Marksheet_Table[[#This Row],[Total Marks  ]]/500*100</f>
        <v>83.399999999999991</v>
      </c>
      <c r="P19" s="2" t="str">
        <f>IF(Marksheet_Table[[#This Row],[Percentage %]]&gt;=90,"A+",IF(Marksheet_Table[[#This Row],[Percentage %]]&gt;=80,"A",IF(Marksheet_Table[[#This Row],[Percentage %]]&gt;=70,"B",IF(Marksheet_Table[[#This Row],[Percentage %]]&gt;=60,"C",IF(Marksheet_Table[[#This Row],[Percentage %]]&gt;=50,"D","F")))))</f>
        <v>A</v>
      </c>
      <c r="Q19" s="4" t="str">
        <f>IF(Marksheet_Table[[#This Row],[Percentage %]]&gt;=50,"Pass","Fail")</f>
        <v>Pass</v>
      </c>
    </row>
    <row r="20" spans="6:17" x14ac:dyDescent="0.25">
      <c r="F20" s="3">
        <v>117</v>
      </c>
      <c r="G20" s="2" t="s">
        <v>20</v>
      </c>
      <c r="H20" s="2" t="s">
        <v>14</v>
      </c>
      <c r="I20" s="2">
        <v>37</v>
      </c>
      <c r="J20" s="2">
        <v>42</v>
      </c>
      <c r="K20" s="2">
        <v>35</v>
      </c>
      <c r="L20" s="2">
        <v>44</v>
      </c>
      <c r="M20" s="2">
        <v>40</v>
      </c>
      <c r="N20" s="2">
        <f>SUM(Marksheet_Table[[#This Row],[Business English]:[Business Economics]])</f>
        <v>198</v>
      </c>
      <c r="O20" s="22">
        <f>Marksheet_Table[[#This Row],[Total Marks  ]]/500*100</f>
        <v>39.6</v>
      </c>
      <c r="P20" s="2" t="str">
        <f>IF(Marksheet_Table[[#This Row],[Percentage %]]&gt;=90,"A+",IF(Marksheet_Table[[#This Row],[Percentage %]]&gt;=80,"A",IF(Marksheet_Table[[#This Row],[Percentage %]]&gt;=70,"B",IF(Marksheet_Table[[#This Row],[Percentage %]]&gt;=60,"C",IF(Marksheet_Table[[#This Row],[Percentage %]]&gt;=50,"D","F")))))</f>
        <v>F</v>
      </c>
      <c r="Q20" s="4" t="str">
        <f>IF(Marksheet_Table[[#This Row],[Percentage %]]&gt;=50,"Pass","Fail")</f>
        <v>Fail</v>
      </c>
    </row>
    <row r="21" spans="6:17" x14ac:dyDescent="0.25">
      <c r="F21" s="3">
        <v>118</v>
      </c>
      <c r="G21" s="2" t="s">
        <v>21</v>
      </c>
      <c r="H21" s="2" t="s">
        <v>14</v>
      </c>
      <c r="I21" s="2">
        <v>69</v>
      </c>
      <c r="J21" s="2">
        <v>74</v>
      </c>
      <c r="K21" s="2">
        <v>78</v>
      </c>
      <c r="L21" s="2">
        <v>71</v>
      </c>
      <c r="M21" s="2">
        <v>76</v>
      </c>
      <c r="N21" s="2">
        <f>SUM(Marksheet_Table[[#This Row],[Business English]:[Business Economics]])</f>
        <v>368</v>
      </c>
      <c r="O21" s="22">
        <f>Marksheet_Table[[#This Row],[Total Marks  ]]/500*100</f>
        <v>73.599999999999994</v>
      </c>
      <c r="P21" s="2" t="str">
        <f>IF(Marksheet_Table[[#This Row],[Percentage %]]&gt;=90,"A+",IF(Marksheet_Table[[#This Row],[Percentage %]]&gt;=80,"A",IF(Marksheet_Table[[#This Row],[Percentage %]]&gt;=70,"B",IF(Marksheet_Table[[#This Row],[Percentage %]]&gt;=60,"C",IF(Marksheet_Table[[#This Row],[Percentage %]]&gt;=50,"D","F")))))</f>
        <v>B</v>
      </c>
      <c r="Q21" s="4" t="str">
        <f>IF(Marksheet_Table[[#This Row],[Percentage %]]&gt;=50,"Pass","Fail")</f>
        <v>Pass</v>
      </c>
    </row>
    <row r="22" spans="6:17" x14ac:dyDescent="0.25">
      <c r="F22" s="3">
        <v>119</v>
      </c>
      <c r="G22" s="2" t="s">
        <v>22</v>
      </c>
      <c r="H22" s="2" t="s">
        <v>14</v>
      </c>
      <c r="I22" s="2">
        <v>53</v>
      </c>
      <c r="J22" s="2">
        <v>58</v>
      </c>
      <c r="K22" s="2">
        <v>55</v>
      </c>
      <c r="L22" s="2">
        <v>60</v>
      </c>
      <c r="M22" s="2">
        <v>57</v>
      </c>
      <c r="N22" s="2">
        <f>SUM(Marksheet_Table[[#This Row],[Business English]:[Business Economics]])</f>
        <v>283</v>
      </c>
      <c r="O22" s="22">
        <f>Marksheet_Table[[#This Row],[Total Marks  ]]/500*100</f>
        <v>56.599999999999994</v>
      </c>
      <c r="P22" s="2" t="str">
        <f>IF(Marksheet_Table[[#This Row],[Percentage %]]&gt;=90,"A+",IF(Marksheet_Table[[#This Row],[Percentage %]]&gt;=80,"A",IF(Marksheet_Table[[#This Row],[Percentage %]]&gt;=70,"B",IF(Marksheet_Table[[#This Row],[Percentage %]]&gt;=60,"C",IF(Marksheet_Table[[#This Row],[Percentage %]]&gt;=50,"D","F")))))</f>
        <v>D</v>
      </c>
      <c r="Q22" s="4" t="str">
        <f>IF(Marksheet_Table[[#This Row],[Percentage %]]&gt;=50,"Pass","Fail")</f>
        <v>Pass</v>
      </c>
    </row>
    <row r="23" spans="6:17" x14ac:dyDescent="0.25">
      <c r="F23" s="3">
        <v>120</v>
      </c>
      <c r="G23" s="2" t="s">
        <v>23</v>
      </c>
      <c r="H23" s="2" t="s">
        <v>14</v>
      </c>
      <c r="I23" s="2">
        <v>89</v>
      </c>
      <c r="J23" s="2">
        <v>91</v>
      </c>
      <c r="K23" s="2">
        <v>87</v>
      </c>
      <c r="L23" s="2">
        <v>93</v>
      </c>
      <c r="M23" s="2">
        <v>90</v>
      </c>
      <c r="N23" s="2">
        <f>SUM(Marksheet_Table[[#This Row],[Business English]:[Business Economics]])</f>
        <v>450</v>
      </c>
      <c r="O23" s="22">
        <f>Marksheet_Table[[#This Row],[Total Marks  ]]/500*100</f>
        <v>90</v>
      </c>
      <c r="P23" s="2" t="str">
        <f>IF(Marksheet_Table[[#This Row],[Percentage %]]&gt;=90,"A+",IF(Marksheet_Table[[#This Row],[Percentage %]]&gt;=80,"A",IF(Marksheet_Table[[#This Row],[Percentage %]]&gt;=70,"B",IF(Marksheet_Table[[#This Row],[Percentage %]]&gt;=60,"C",IF(Marksheet_Table[[#This Row],[Percentage %]]&gt;=50,"D","F")))))</f>
        <v>A+</v>
      </c>
      <c r="Q23" s="4" t="str">
        <f>IF(Marksheet_Table[[#This Row],[Percentage %]]&gt;=50,"Pass","Fail")</f>
        <v>Pass</v>
      </c>
    </row>
    <row r="24" spans="6:17" x14ac:dyDescent="0.25">
      <c r="F24" s="3">
        <v>121</v>
      </c>
      <c r="G24" s="2" t="s">
        <v>24</v>
      </c>
      <c r="H24" s="2" t="s">
        <v>25</v>
      </c>
      <c r="I24" s="2">
        <v>76</v>
      </c>
      <c r="J24" s="2">
        <v>82</v>
      </c>
      <c r="K24" s="2">
        <v>79</v>
      </c>
      <c r="L24" s="2">
        <v>84</v>
      </c>
      <c r="M24" s="2">
        <v>77</v>
      </c>
      <c r="N24" s="2">
        <f>SUM(Marksheet_Table[[#This Row],[Business English]:[Business Economics]])</f>
        <v>398</v>
      </c>
      <c r="O24" s="22">
        <f>Marksheet_Table[[#This Row],[Total Marks  ]]/500*100</f>
        <v>79.600000000000009</v>
      </c>
      <c r="P24" s="2" t="str">
        <f>IF(Marksheet_Table[[#This Row],[Percentage %]]&gt;=90,"A+",IF(Marksheet_Table[[#This Row],[Percentage %]]&gt;=80,"A",IF(Marksheet_Table[[#This Row],[Percentage %]]&gt;=70,"B",IF(Marksheet_Table[[#This Row],[Percentage %]]&gt;=60,"C",IF(Marksheet_Table[[#This Row],[Percentage %]]&gt;=50,"D","F")))))</f>
        <v>B</v>
      </c>
      <c r="Q24" s="4" t="str">
        <f>IF(Marksheet_Table[[#This Row],[Percentage %]]&gt;=50,"Pass","Fail")</f>
        <v>Pass</v>
      </c>
    </row>
    <row r="25" spans="6:17" x14ac:dyDescent="0.25">
      <c r="F25" s="3">
        <v>122</v>
      </c>
      <c r="G25" s="2" t="s">
        <v>26</v>
      </c>
      <c r="H25" s="2" t="s">
        <v>25</v>
      </c>
      <c r="I25" s="2">
        <v>62</v>
      </c>
      <c r="J25" s="2">
        <v>67</v>
      </c>
      <c r="K25" s="2">
        <v>64</v>
      </c>
      <c r="L25" s="2">
        <v>69</v>
      </c>
      <c r="M25" s="2">
        <v>65</v>
      </c>
      <c r="N25" s="2">
        <f>SUM(Marksheet_Table[[#This Row],[Business English]:[Business Economics]])</f>
        <v>327</v>
      </c>
      <c r="O25" s="22">
        <f>Marksheet_Table[[#This Row],[Total Marks  ]]/500*100</f>
        <v>65.400000000000006</v>
      </c>
      <c r="P25" s="2" t="str">
        <f>IF(Marksheet_Table[[#This Row],[Percentage %]]&gt;=90,"A+",IF(Marksheet_Table[[#This Row],[Percentage %]]&gt;=80,"A",IF(Marksheet_Table[[#This Row],[Percentage %]]&gt;=70,"B",IF(Marksheet_Table[[#This Row],[Percentage %]]&gt;=60,"C",IF(Marksheet_Table[[#This Row],[Percentage %]]&gt;=50,"D","F")))))</f>
        <v>C</v>
      </c>
      <c r="Q25" s="4" t="str">
        <f>IF(Marksheet_Table[[#This Row],[Percentage %]]&gt;=50,"Pass","Fail")</f>
        <v>Pass</v>
      </c>
    </row>
    <row r="26" spans="6:17" x14ac:dyDescent="0.25">
      <c r="F26" s="3">
        <v>123</v>
      </c>
      <c r="G26" s="2" t="s">
        <v>27</v>
      </c>
      <c r="H26" s="2" t="s">
        <v>25</v>
      </c>
      <c r="I26" s="2">
        <v>48</v>
      </c>
      <c r="J26" s="2">
        <v>45</v>
      </c>
      <c r="K26" s="2">
        <v>51</v>
      </c>
      <c r="L26" s="2">
        <v>43</v>
      </c>
      <c r="M26" s="2">
        <v>50</v>
      </c>
      <c r="N26" s="2">
        <f>SUM(Marksheet_Table[[#This Row],[Business English]:[Business Economics]])</f>
        <v>237</v>
      </c>
      <c r="O26" s="22">
        <f>Marksheet_Table[[#This Row],[Total Marks  ]]/500*100</f>
        <v>47.4</v>
      </c>
      <c r="P26" s="2" t="str">
        <f>IF(Marksheet_Table[[#This Row],[Percentage %]]&gt;=90,"A+",IF(Marksheet_Table[[#This Row],[Percentage %]]&gt;=80,"A",IF(Marksheet_Table[[#This Row],[Percentage %]]&gt;=70,"B",IF(Marksheet_Table[[#This Row],[Percentage %]]&gt;=60,"C",IF(Marksheet_Table[[#This Row],[Percentage %]]&gt;=50,"D","F")))))</f>
        <v>F</v>
      </c>
      <c r="Q26" s="4" t="str">
        <f>IF(Marksheet_Table[[#This Row],[Percentage %]]&gt;=50,"Pass","Fail")</f>
        <v>Fail</v>
      </c>
    </row>
    <row r="27" spans="6:17" x14ac:dyDescent="0.25">
      <c r="F27" s="3">
        <v>124</v>
      </c>
      <c r="G27" s="2" t="s">
        <v>28</v>
      </c>
      <c r="H27" s="2" t="s">
        <v>25</v>
      </c>
      <c r="I27" s="2">
        <v>93</v>
      </c>
      <c r="J27" s="2">
        <v>96</v>
      </c>
      <c r="K27" s="2">
        <v>91</v>
      </c>
      <c r="L27" s="2">
        <v>94</v>
      </c>
      <c r="M27" s="2">
        <v>97</v>
      </c>
      <c r="N27" s="2">
        <f>SUM(Marksheet_Table[[#This Row],[Business English]:[Business Economics]])</f>
        <v>471</v>
      </c>
      <c r="O27" s="22">
        <f>Marksheet_Table[[#This Row],[Total Marks  ]]/500*100</f>
        <v>94.199999999999989</v>
      </c>
      <c r="P27" s="2" t="str">
        <f>IF(Marksheet_Table[[#This Row],[Percentage %]]&gt;=90,"A+",IF(Marksheet_Table[[#This Row],[Percentage %]]&gt;=80,"A",IF(Marksheet_Table[[#This Row],[Percentage %]]&gt;=70,"B",IF(Marksheet_Table[[#This Row],[Percentage %]]&gt;=60,"C",IF(Marksheet_Table[[#This Row],[Percentage %]]&gt;=50,"D","F")))))</f>
        <v>A+</v>
      </c>
      <c r="Q27" s="4" t="str">
        <f>IF(Marksheet_Table[[#This Row],[Percentage %]]&gt;=50,"Pass","Fail")</f>
        <v>Pass</v>
      </c>
    </row>
    <row r="28" spans="6:17" x14ac:dyDescent="0.25">
      <c r="F28" s="3">
        <v>125</v>
      </c>
      <c r="G28" s="2" t="s">
        <v>29</v>
      </c>
      <c r="H28" s="2" t="s">
        <v>25</v>
      </c>
      <c r="I28" s="2">
        <v>57</v>
      </c>
      <c r="J28" s="2">
        <v>63</v>
      </c>
      <c r="K28" s="2">
        <v>59</v>
      </c>
      <c r="L28" s="2">
        <v>61</v>
      </c>
      <c r="M28" s="2">
        <v>56</v>
      </c>
      <c r="N28" s="2">
        <f>SUM(Marksheet_Table[[#This Row],[Business English]:[Business Economics]])</f>
        <v>296</v>
      </c>
      <c r="O28" s="22">
        <f>Marksheet_Table[[#This Row],[Total Marks  ]]/500*100</f>
        <v>59.199999999999996</v>
      </c>
      <c r="P28" s="2" t="str">
        <f>IF(Marksheet_Table[[#This Row],[Percentage %]]&gt;=90,"A+",IF(Marksheet_Table[[#This Row],[Percentage %]]&gt;=80,"A",IF(Marksheet_Table[[#This Row],[Percentage %]]&gt;=70,"B",IF(Marksheet_Table[[#This Row],[Percentage %]]&gt;=60,"C",IF(Marksheet_Table[[#This Row],[Percentage %]]&gt;=50,"D","F")))))</f>
        <v>D</v>
      </c>
      <c r="Q28" s="4" t="str">
        <f>IF(Marksheet_Table[[#This Row],[Percentage %]]&gt;=50,"Pass","Fail")</f>
        <v>Pass</v>
      </c>
    </row>
    <row r="29" spans="6:17" x14ac:dyDescent="0.25">
      <c r="F29" s="3">
        <v>126</v>
      </c>
      <c r="G29" s="2" t="s">
        <v>30</v>
      </c>
      <c r="H29" s="2" t="s">
        <v>25</v>
      </c>
      <c r="I29" s="2">
        <v>85</v>
      </c>
      <c r="J29" s="2">
        <v>88</v>
      </c>
      <c r="K29" s="2">
        <v>82</v>
      </c>
      <c r="L29" s="2">
        <v>90</v>
      </c>
      <c r="M29" s="2">
        <v>86</v>
      </c>
      <c r="N29" s="2">
        <f>SUM(Marksheet_Table[[#This Row],[Business English]:[Business Economics]])</f>
        <v>431</v>
      </c>
      <c r="O29" s="22">
        <f>Marksheet_Table[[#This Row],[Total Marks  ]]/500*100</f>
        <v>86.2</v>
      </c>
      <c r="P29" s="2" t="str">
        <f>IF(Marksheet_Table[[#This Row],[Percentage %]]&gt;=90,"A+",IF(Marksheet_Table[[#This Row],[Percentage %]]&gt;=80,"A",IF(Marksheet_Table[[#This Row],[Percentage %]]&gt;=70,"B",IF(Marksheet_Table[[#This Row],[Percentage %]]&gt;=60,"C",IF(Marksheet_Table[[#This Row],[Percentage %]]&gt;=50,"D","F")))))</f>
        <v>A</v>
      </c>
      <c r="Q29" s="4" t="str">
        <f>IF(Marksheet_Table[[#This Row],[Percentage %]]&gt;=50,"Pass","Fail")</f>
        <v>Pass</v>
      </c>
    </row>
    <row r="30" spans="6:17" x14ac:dyDescent="0.25">
      <c r="F30" s="3">
        <v>127</v>
      </c>
      <c r="G30" s="2" t="s">
        <v>31</v>
      </c>
      <c r="H30" s="2" t="s">
        <v>25</v>
      </c>
      <c r="I30" s="2">
        <v>34</v>
      </c>
      <c r="J30" s="2">
        <v>31</v>
      </c>
      <c r="K30" s="2">
        <v>43</v>
      </c>
      <c r="L30" s="2">
        <v>36</v>
      </c>
      <c r="M30" s="2">
        <v>33</v>
      </c>
      <c r="N30" s="2">
        <f>SUM(Marksheet_Table[[#This Row],[Business English]:[Business Economics]])</f>
        <v>177</v>
      </c>
      <c r="O30" s="22">
        <f>Marksheet_Table[[#This Row],[Total Marks  ]]/500*100</f>
        <v>35.4</v>
      </c>
      <c r="P30" s="2" t="str">
        <f>IF(Marksheet_Table[[#This Row],[Percentage %]]&gt;=90,"A+",IF(Marksheet_Table[[#This Row],[Percentage %]]&gt;=80,"A",IF(Marksheet_Table[[#This Row],[Percentage %]]&gt;=70,"B",IF(Marksheet_Table[[#This Row],[Percentage %]]&gt;=60,"C",IF(Marksheet_Table[[#This Row],[Percentage %]]&gt;=50,"D","F")))))</f>
        <v>F</v>
      </c>
      <c r="Q30" s="4" t="str">
        <f>IF(Marksheet_Table[[#This Row],[Percentage %]]&gt;=50,"Pass","Fail")</f>
        <v>Fail</v>
      </c>
    </row>
    <row r="31" spans="6:17" x14ac:dyDescent="0.25">
      <c r="F31" s="3">
        <v>128</v>
      </c>
      <c r="G31" s="2" t="s">
        <v>32</v>
      </c>
      <c r="H31" s="2" t="s">
        <v>25</v>
      </c>
      <c r="I31" s="2">
        <v>72</v>
      </c>
      <c r="J31" s="2">
        <v>78</v>
      </c>
      <c r="K31" s="2">
        <v>74</v>
      </c>
      <c r="L31" s="2">
        <v>80</v>
      </c>
      <c r="M31" s="2">
        <v>76</v>
      </c>
      <c r="N31" s="2">
        <f>SUM(Marksheet_Table[[#This Row],[Business English]:[Business Economics]])</f>
        <v>380</v>
      </c>
      <c r="O31" s="22">
        <f>Marksheet_Table[[#This Row],[Total Marks  ]]/500*100</f>
        <v>76</v>
      </c>
      <c r="P31" s="2" t="str">
        <f>IF(Marksheet_Table[[#This Row],[Percentage %]]&gt;=90,"A+",IF(Marksheet_Table[[#This Row],[Percentage %]]&gt;=80,"A",IF(Marksheet_Table[[#This Row],[Percentage %]]&gt;=70,"B",IF(Marksheet_Table[[#This Row],[Percentage %]]&gt;=60,"C",IF(Marksheet_Table[[#This Row],[Percentage %]]&gt;=50,"D","F")))))</f>
        <v>B</v>
      </c>
      <c r="Q31" s="4" t="str">
        <f>IF(Marksheet_Table[[#This Row],[Percentage %]]&gt;=50,"Pass","Fail")</f>
        <v>Pass</v>
      </c>
    </row>
    <row r="32" spans="6:17" x14ac:dyDescent="0.25">
      <c r="F32" s="3">
        <v>129</v>
      </c>
      <c r="G32" s="2" t="s">
        <v>33</v>
      </c>
      <c r="H32" s="2" t="s">
        <v>25</v>
      </c>
      <c r="I32" s="2">
        <v>66</v>
      </c>
      <c r="J32" s="2">
        <v>71</v>
      </c>
      <c r="K32" s="2">
        <v>68</v>
      </c>
      <c r="L32" s="2">
        <v>73</v>
      </c>
      <c r="M32" s="2">
        <v>70</v>
      </c>
      <c r="N32" s="2">
        <f>SUM(Marksheet_Table[[#This Row],[Business English]:[Business Economics]])</f>
        <v>348</v>
      </c>
      <c r="O32" s="22">
        <f>Marksheet_Table[[#This Row],[Total Marks  ]]/500*100</f>
        <v>69.599999999999994</v>
      </c>
      <c r="P32" s="2" t="str">
        <f>IF(Marksheet_Table[[#This Row],[Percentage %]]&gt;=90,"A+",IF(Marksheet_Table[[#This Row],[Percentage %]]&gt;=80,"A",IF(Marksheet_Table[[#This Row],[Percentage %]]&gt;=70,"B",IF(Marksheet_Table[[#This Row],[Percentage %]]&gt;=60,"C",IF(Marksheet_Table[[#This Row],[Percentage %]]&gt;=50,"D","F")))))</f>
        <v>C</v>
      </c>
      <c r="Q32" s="4" t="str">
        <f>IF(Marksheet_Table[[#This Row],[Percentage %]]&gt;=50,"Pass","Fail")</f>
        <v>Pass</v>
      </c>
    </row>
    <row r="33" spans="6:17" x14ac:dyDescent="0.25">
      <c r="F33" s="8">
        <v>130</v>
      </c>
      <c r="G33" s="9" t="s">
        <v>34</v>
      </c>
      <c r="H33" s="9" t="s">
        <v>25</v>
      </c>
      <c r="I33" s="9">
        <v>98</v>
      </c>
      <c r="J33" s="9">
        <v>94</v>
      </c>
      <c r="K33" s="9">
        <v>96</v>
      </c>
      <c r="L33" s="9">
        <v>99</v>
      </c>
      <c r="M33" s="9">
        <v>95</v>
      </c>
      <c r="N33" s="9">
        <f>SUM(Marksheet_Table[[#This Row],[Business English]:[Business Economics]])</f>
        <v>482</v>
      </c>
      <c r="O33" s="23">
        <f>Marksheet_Table[[#This Row],[Total Marks  ]]/500*100</f>
        <v>96.399999999999991</v>
      </c>
      <c r="P33" s="9" t="str">
        <f>IF(Marksheet_Table[[#This Row],[Percentage %]]&gt;=90,"A+",IF(Marksheet_Table[[#This Row],[Percentage %]]&gt;=80,"A",IF(Marksheet_Table[[#This Row],[Percentage %]]&gt;=70,"B",IF(Marksheet_Table[[#This Row],[Percentage %]]&gt;=60,"C",IF(Marksheet_Table[[#This Row],[Percentage %]]&gt;=50,"D","F")))))</f>
        <v>A+</v>
      </c>
      <c r="Q33" s="10" t="str">
        <f>IF(Marksheet_Table[[#This Row],[Percentage %]]&gt;=50,"Pass","Fail")</f>
        <v>Pass</v>
      </c>
    </row>
  </sheetData>
  <conditionalFormatting sqref="I4:M33">
    <cfRule type="cellIs" dxfId="10" priority="1" operator="lessThan">
      <formula>40</formula>
    </cfRule>
  </conditionalFormatting>
  <conditionalFormatting sqref="Q4:Q33">
    <cfRule type="containsText" dxfId="9" priority="2" operator="containsText" text="Fail">
      <formula>NOT(ISERROR(SEARCH("Fail",Q4)))</formula>
    </cfRule>
    <cfRule type="containsText" dxfId="8" priority="3" operator="containsText" text="Pass">
      <formula>NOT(ISERROR(SEARCH("Pass",Q4)))</formula>
    </cfRule>
  </conditionalFormatting>
  <dataValidations count="1">
    <dataValidation type="whole" allowBlank="1" showInputMessage="1" showErrorMessage="1" sqref="I4:M33" xr:uid="{84762E78-6321-452B-B66D-79D7A31B6016}">
      <formula1>0</formula1>
      <formula2>100</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3E2D-4AF1-4256-8908-340E84B1285D}">
  <dimension ref="A1:I151"/>
  <sheetViews>
    <sheetView workbookViewId="0">
      <selection activeCell="B6" sqref="B6"/>
    </sheetView>
  </sheetViews>
  <sheetFormatPr defaultRowHeight="15" x14ac:dyDescent="0.25"/>
  <cols>
    <col min="1" max="1" width="9.7109375" bestFit="1" customWidth="1"/>
    <col min="2" max="2" width="16.140625" bestFit="1" customWidth="1"/>
    <col min="3" max="3" width="9.42578125" bestFit="1" customWidth="1"/>
    <col min="4" max="4" width="14.42578125" bestFit="1" customWidth="1"/>
    <col min="5" max="5" width="15.42578125" bestFit="1" customWidth="1"/>
    <col min="6" max="7" width="8.7109375" bestFit="1" customWidth="1"/>
    <col min="8" max="8" width="18.7109375" bestFit="1" customWidth="1"/>
    <col min="9" max="9" width="8.7109375" bestFit="1" customWidth="1"/>
  </cols>
  <sheetData>
    <row r="1" spans="1:9" x14ac:dyDescent="0.25">
      <c r="A1" t="s">
        <v>0</v>
      </c>
      <c r="B1" t="s">
        <v>1</v>
      </c>
      <c r="C1" t="s">
        <v>35</v>
      </c>
      <c r="D1" t="s">
        <v>41</v>
      </c>
      <c r="E1" t="s">
        <v>44</v>
      </c>
      <c r="F1" t="s">
        <v>42</v>
      </c>
      <c r="G1" t="s">
        <v>43</v>
      </c>
      <c r="H1" t="s">
        <v>48</v>
      </c>
      <c r="I1" t="s">
        <v>49</v>
      </c>
    </row>
    <row r="2" spans="1:9" x14ac:dyDescent="0.25">
      <c r="A2">
        <v>101</v>
      </c>
      <c r="B2" t="s">
        <v>2</v>
      </c>
      <c r="C2" t="s">
        <v>3</v>
      </c>
      <c r="D2">
        <v>437</v>
      </c>
      <c r="E2">
        <v>87.4</v>
      </c>
      <c r="F2" t="s">
        <v>50</v>
      </c>
      <c r="G2" t="s">
        <v>51</v>
      </c>
      <c r="H2" t="s">
        <v>36</v>
      </c>
      <c r="I2">
        <v>93</v>
      </c>
    </row>
    <row r="3" spans="1:9" x14ac:dyDescent="0.25">
      <c r="A3">
        <v>101</v>
      </c>
      <c r="B3" t="s">
        <v>2</v>
      </c>
      <c r="C3" t="s">
        <v>3</v>
      </c>
      <c r="D3">
        <v>437</v>
      </c>
      <c r="E3">
        <v>87.4</v>
      </c>
      <c r="F3" t="s">
        <v>50</v>
      </c>
      <c r="G3" t="s">
        <v>51</v>
      </c>
      <c r="H3" t="s">
        <v>37</v>
      </c>
      <c r="I3">
        <v>76</v>
      </c>
    </row>
    <row r="4" spans="1:9" x14ac:dyDescent="0.25">
      <c r="A4">
        <v>101</v>
      </c>
      <c r="B4" t="s">
        <v>2</v>
      </c>
      <c r="C4" t="s">
        <v>3</v>
      </c>
      <c r="D4">
        <v>437</v>
      </c>
      <c r="E4">
        <v>87.4</v>
      </c>
      <c r="F4" t="s">
        <v>50</v>
      </c>
      <c r="G4" t="s">
        <v>51</v>
      </c>
      <c r="H4" t="s">
        <v>40</v>
      </c>
      <c r="I4">
        <v>98</v>
      </c>
    </row>
    <row r="5" spans="1:9" x14ac:dyDescent="0.25">
      <c r="A5">
        <v>101</v>
      </c>
      <c r="B5" t="s">
        <v>2</v>
      </c>
      <c r="C5" t="s">
        <v>3</v>
      </c>
      <c r="D5">
        <v>437</v>
      </c>
      <c r="E5">
        <v>87.4</v>
      </c>
      <c r="F5" t="s">
        <v>50</v>
      </c>
      <c r="G5" t="s">
        <v>51</v>
      </c>
      <c r="H5" t="s">
        <v>38</v>
      </c>
      <c r="I5">
        <v>91</v>
      </c>
    </row>
    <row r="6" spans="1:9" x14ac:dyDescent="0.25">
      <c r="A6">
        <v>101</v>
      </c>
      <c r="B6" t="s">
        <v>2</v>
      </c>
      <c r="C6" t="s">
        <v>3</v>
      </c>
      <c r="D6">
        <v>437</v>
      </c>
      <c r="E6">
        <v>87.4</v>
      </c>
      <c r="F6" t="s">
        <v>50</v>
      </c>
      <c r="G6" t="s">
        <v>51</v>
      </c>
      <c r="H6" t="s">
        <v>39</v>
      </c>
      <c r="I6">
        <v>79</v>
      </c>
    </row>
    <row r="7" spans="1:9" x14ac:dyDescent="0.25">
      <c r="A7">
        <v>102</v>
      </c>
      <c r="B7" t="s">
        <v>4</v>
      </c>
      <c r="C7" t="s">
        <v>3</v>
      </c>
      <c r="D7">
        <v>457</v>
      </c>
      <c r="E7">
        <v>91.4</v>
      </c>
      <c r="F7" t="s">
        <v>52</v>
      </c>
      <c r="G7" t="s">
        <v>51</v>
      </c>
      <c r="H7" t="s">
        <v>36</v>
      </c>
      <c r="I7">
        <v>91</v>
      </c>
    </row>
    <row r="8" spans="1:9" x14ac:dyDescent="0.25">
      <c r="A8">
        <v>102</v>
      </c>
      <c r="B8" t="s">
        <v>4</v>
      </c>
      <c r="C8" t="s">
        <v>3</v>
      </c>
      <c r="D8">
        <v>457</v>
      </c>
      <c r="E8">
        <v>91.4</v>
      </c>
      <c r="F8" t="s">
        <v>52</v>
      </c>
      <c r="G8" t="s">
        <v>51</v>
      </c>
      <c r="H8" t="s">
        <v>37</v>
      </c>
      <c r="I8">
        <v>94</v>
      </c>
    </row>
    <row r="9" spans="1:9" x14ac:dyDescent="0.25">
      <c r="A9">
        <v>102</v>
      </c>
      <c r="B9" t="s">
        <v>4</v>
      </c>
      <c r="C9" t="s">
        <v>3</v>
      </c>
      <c r="D9">
        <v>457</v>
      </c>
      <c r="E9">
        <v>91.4</v>
      </c>
      <c r="F9" t="s">
        <v>52</v>
      </c>
      <c r="G9" t="s">
        <v>51</v>
      </c>
      <c r="H9" t="s">
        <v>40</v>
      </c>
      <c r="I9">
        <v>89</v>
      </c>
    </row>
    <row r="10" spans="1:9" x14ac:dyDescent="0.25">
      <c r="A10">
        <v>102</v>
      </c>
      <c r="B10" t="s">
        <v>4</v>
      </c>
      <c r="C10" t="s">
        <v>3</v>
      </c>
      <c r="D10">
        <v>457</v>
      </c>
      <c r="E10">
        <v>91.4</v>
      </c>
      <c r="F10" t="s">
        <v>52</v>
      </c>
      <c r="G10" t="s">
        <v>51</v>
      </c>
      <c r="H10" t="s">
        <v>38</v>
      </c>
      <c r="I10">
        <v>96</v>
      </c>
    </row>
    <row r="11" spans="1:9" x14ac:dyDescent="0.25">
      <c r="A11">
        <v>102</v>
      </c>
      <c r="B11" t="s">
        <v>4</v>
      </c>
      <c r="C11" t="s">
        <v>3</v>
      </c>
      <c r="D11">
        <v>457</v>
      </c>
      <c r="E11">
        <v>91.4</v>
      </c>
      <c r="F11" t="s">
        <v>52</v>
      </c>
      <c r="G11" t="s">
        <v>51</v>
      </c>
      <c r="H11" t="s">
        <v>39</v>
      </c>
      <c r="I11">
        <v>87</v>
      </c>
    </row>
    <row r="12" spans="1:9" x14ac:dyDescent="0.25">
      <c r="A12">
        <v>103</v>
      </c>
      <c r="B12" t="s">
        <v>5</v>
      </c>
      <c r="C12" t="s">
        <v>3</v>
      </c>
      <c r="D12">
        <v>351</v>
      </c>
      <c r="E12">
        <v>70.199999999999989</v>
      </c>
      <c r="F12" t="s">
        <v>53</v>
      </c>
      <c r="G12" t="s">
        <v>51</v>
      </c>
      <c r="H12" t="s">
        <v>36</v>
      </c>
      <c r="I12">
        <v>68</v>
      </c>
    </row>
    <row r="13" spans="1:9" x14ac:dyDescent="0.25">
      <c r="A13">
        <v>103</v>
      </c>
      <c r="B13" t="s">
        <v>5</v>
      </c>
      <c r="C13" t="s">
        <v>3</v>
      </c>
      <c r="D13">
        <v>351</v>
      </c>
      <c r="E13">
        <v>70.199999999999989</v>
      </c>
      <c r="F13" t="s">
        <v>53</v>
      </c>
      <c r="G13" t="s">
        <v>51</v>
      </c>
      <c r="H13" t="s">
        <v>37</v>
      </c>
      <c r="I13">
        <v>72</v>
      </c>
    </row>
    <row r="14" spans="1:9" x14ac:dyDescent="0.25">
      <c r="A14">
        <v>103</v>
      </c>
      <c r="B14" t="s">
        <v>5</v>
      </c>
      <c r="C14" t="s">
        <v>3</v>
      </c>
      <c r="D14">
        <v>351</v>
      </c>
      <c r="E14">
        <v>70.199999999999989</v>
      </c>
      <c r="F14" t="s">
        <v>53</v>
      </c>
      <c r="G14" t="s">
        <v>51</v>
      </c>
      <c r="H14" t="s">
        <v>40</v>
      </c>
      <c r="I14">
        <v>75</v>
      </c>
    </row>
    <row r="15" spans="1:9" x14ac:dyDescent="0.25">
      <c r="A15">
        <v>103</v>
      </c>
      <c r="B15" t="s">
        <v>5</v>
      </c>
      <c r="C15" t="s">
        <v>3</v>
      </c>
      <c r="D15">
        <v>351</v>
      </c>
      <c r="E15">
        <v>70.199999999999989</v>
      </c>
      <c r="F15" t="s">
        <v>53</v>
      </c>
      <c r="G15" t="s">
        <v>51</v>
      </c>
      <c r="H15" t="s">
        <v>38</v>
      </c>
      <c r="I15">
        <v>70</v>
      </c>
    </row>
    <row r="16" spans="1:9" x14ac:dyDescent="0.25">
      <c r="A16">
        <v>103</v>
      </c>
      <c r="B16" t="s">
        <v>5</v>
      </c>
      <c r="C16" t="s">
        <v>3</v>
      </c>
      <c r="D16">
        <v>351</v>
      </c>
      <c r="E16">
        <v>70.199999999999989</v>
      </c>
      <c r="F16" t="s">
        <v>53</v>
      </c>
      <c r="G16" t="s">
        <v>51</v>
      </c>
      <c r="H16" t="s">
        <v>39</v>
      </c>
      <c r="I16">
        <v>66</v>
      </c>
    </row>
    <row r="17" spans="1:9" x14ac:dyDescent="0.25">
      <c r="A17">
        <v>104</v>
      </c>
      <c r="B17" t="s">
        <v>6</v>
      </c>
      <c r="C17" t="s">
        <v>3</v>
      </c>
      <c r="D17">
        <v>298</v>
      </c>
      <c r="E17">
        <v>59.599999999999994</v>
      </c>
      <c r="F17" t="s">
        <v>54</v>
      </c>
      <c r="G17" t="s">
        <v>51</v>
      </c>
      <c r="H17" t="s">
        <v>36</v>
      </c>
      <c r="I17">
        <v>55</v>
      </c>
    </row>
    <row r="18" spans="1:9" x14ac:dyDescent="0.25">
      <c r="A18">
        <v>104</v>
      </c>
      <c r="B18" t="s">
        <v>6</v>
      </c>
      <c r="C18" t="s">
        <v>3</v>
      </c>
      <c r="D18">
        <v>298</v>
      </c>
      <c r="E18">
        <v>59.599999999999994</v>
      </c>
      <c r="F18" t="s">
        <v>54</v>
      </c>
      <c r="G18" t="s">
        <v>51</v>
      </c>
      <c r="H18" t="s">
        <v>37</v>
      </c>
      <c r="I18">
        <v>61</v>
      </c>
    </row>
    <row r="19" spans="1:9" x14ac:dyDescent="0.25">
      <c r="A19">
        <v>104</v>
      </c>
      <c r="B19" t="s">
        <v>6</v>
      </c>
      <c r="C19" t="s">
        <v>3</v>
      </c>
      <c r="D19">
        <v>298</v>
      </c>
      <c r="E19">
        <v>59.599999999999994</v>
      </c>
      <c r="F19" t="s">
        <v>54</v>
      </c>
      <c r="G19" t="s">
        <v>51</v>
      </c>
      <c r="H19" t="s">
        <v>40</v>
      </c>
      <c r="I19">
        <v>58</v>
      </c>
    </row>
    <row r="20" spans="1:9" x14ac:dyDescent="0.25">
      <c r="A20">
        <v>104</v>
      </c>
      <c r="B20" t="s">
        <v>6</v>
      </c>
      <c r="C20" t="s">
        <v>3</v>
      </c>
      <c r="D20">
        <v>298</v>
      </c>
      <c r="E20">
        <v>59.599999999999994</v>
      </c>
      <c r="F20" t="s">
        <v>54</v>
      </c>
      <c r="G20" t="s">
        <v>51</v>
      </c>
      <c r="H20" t="s">
        <v>38</v>
      </c>
      <c r="I20">
        <v>64</v>
      </c>
    </row>
    <row r="21" spans="1:9" x14ac:dyDescent="0.25">
      <c r="A21">
        <v>104</v>
      </c>
      <c r="B21" t="s">
        <v>6</v>
      </c>
      <c r="C21" t="s">
        <v>3</v>
      </c>
      <c r="D21">
        <v>298</v>
      </c>
      <c r="E21">
        <v>59.599999999999994</v>
      </c>
      <c r="F21" t="s">
        <v>54</v>
      </c>
      <c r="G21" t="s">
        <v>51</v>
      </c>
      <c r="H21" t="s">
        <v>39</v>
      </c>
      <c r="I21">
        <v>60</v>
      </c>
    </row>
    <row r="22" spans="1:9" x14ac:dyDescent="0.25">
      <c r="A22">
        <v>105</v>
      </c>
      <c r="B22" t="s">
        <v>7</v>
      </c>
      <c r="C22" t="s">
        <v>3</v>
      </c>
      <c r="D22">
        <v>245</v>
      </c>
      <c r="E22">
        <v>49</v>
      </c>
      <c r="F22" t="s">
        <v>55</v>
      </c>
      <c r="G22" t="s">
        <v>56</v>
      </c>
      <c r="H22" t="s">
        <v>36</v>
      </c>
      <c r="I22">
        <v>43</v>
      </c>
    </row>
    <row r="23" spans="1:9" x14ac:dyDescent="0.25">
      <c r="A23">
        <v>105</v>
      </c>
      <c r="B23" t="s">
        <v>7</v>
      </c>
      <c r="C23" t="s">
        <v>3</v>
      </c>
      <c r="D23">
        <v>245</v>
      </c>
      <c r="E23">
        <v>49</v>
      </c>
      <c r="F23" t="s">
        <v>55</v>
      </c>
      <c r="G23" t="s">
        <v>56</v>
      </c>
      <c r="H23" t="s">
        <v>37</v>
      </c>
      <c r="I23">
        <v>49</v>
      </c>
    </row>
    <row r="24" spans="1:9" x14ac:dyDescent="0.25">
      <c r="A24">
        <v>105</v>
      </c>
      <c r="B24" t="s">
        <v>7</v>
      </c>
      <c r="C24" t="s">
        <v>3</v>
      </c>
      <c r="D24">
        <v>245</v>
      </c>
      <c r="E24">
        <v>49</v>
      </c>
      <c r="F24" t="s">
        <v>55</v>
      </c>
      <c r="G24" t="s">
        <v>56</v>
      </c>
      <c r="H24" t="s">
        <v>40</v>
      </c>
      <c r="I24">
        <v>52</v>
      </c>
    </row>
    <row r="25" spans="1:9" x14ac:dyDescent="0.25">
      <c r="A25">
        <v>105</v>
      </c>
      <c r="B25" t="s">
        <v>7</v>
      </c>
      <c r="C25" t="s">
        <v>3</v>
      </c>
      <c r="D25">
        <v>245</v>
      </c>
      <c r="E25">
        <v>49</v>
      </c>
      <c r="F25" t="s">
        <v>55</v>
      </c>
      <c r="G25" t="s">
        <v>56</v>
      </c>
      <c r="H25" t="s">
        <v>38</v>
      </c>
      <c r="I25">
        <v>46</v>
      </c>
    </row>
    <row r="26" spans="1:9" x14ac:dyDescent="0.25">
      <c r="A26">
        <v>105</v>
      </c>
      <c r="B26" t="s">
        <v>7</v>
      </c>
      <c r="C26" t="s">
        <v>3</v>
      </c>
      <c r="D26">
        <v>245</v>
      </c>
      <c r="E26">
        <v>49</v>
      </c>
      <c r="F26" t="s">
        <v>55</v>
      </c>
      <c r="G26" t="s">
        <v>56</v>
      </c>
      <c r="H26" t="s">
        <v>39</v>
      </c>
      <c r="I26">
        <v>55</v>
      </c>
    </row>
    <row r="27" spans="1:9" x14ac:dyDescent="0.25">
      <c r="A27">
        <v>106</v>
      </c>
      <c r="B27" t="s">
        <v>8</v>
      </c>
      <c r="C27" t="s">
        <v>3</v>
      </c>
      <c r="D27">
        <v>398</v>
      </c>
      <c r="E27">
        <v>79.600000000000009</v>
      </c>
      <c r="F27" t="s">
        <v>53</v>
      </c>
      <c r="G27" t="s">
        <v>51</v>
      </c>
      <c r="H27" t="s">
        <v>36</v>
      </c>
      <c r="I27">
        <v>78</v>
      </c>
    </row>
    <row r="28" spans="1:9" x14ac:dyDescent="0.25">
      <c r="A28">
        <v>106</v>
      </c>
      <c r="B28" t="s">
        <v>8</v>
      </c>
      <c r="C28" t="s">
        <v>3</v>
      </c>
      <c r="D28">
        <v>398</v>
      </c>
      <c r="E28">
        <v>79.600000000000009</v>
      </c>
      <c r="F28" t="s">
        <v>53</v>
      </c>
      <c r="G28" t="s">
        <v>51</v>
      </c>
      <c r="H28" t="s">
        <v>37</v>
      </c>
      <c r="I28">
        <v>81</v>
      </c>
    </row>
    <row r="29" spans="1:9" x14ac:dyDescent="0.25">
      <c r="A29">
        <v>106</v>
      </c>
      <c r="B29" t="s">
        <v>8</v>
      </c>
      <c r="C29" t="s">
        <v>3</v>
      </c>
      <c r="D29">
        <v>398</v>
      </c>
      <c r="E29">
        <v>79.600000000000009</v>
      </c>
      <c r="F29" t="s">
        <v>53</v>
      </c>
      <c r="G29" t="s">
        <v>51</v>
      </c>
      <c r="H29" t="s">
        <v>40</v>
      </c>
      <c r="I29">
        <v>74</v>
      </c>
    </row>
    <row r="30" spans="1:9" x14ac:dyDescent="0.25">
      <c r="A30">
        <v>106</v>
      </c>
      <c r="B30" t="s">
        <v>8</v>
      </c>
      <c r="C30" t="s">
        <v>3</v>
      </c>
      <c r="D30">
        <v>398</v>
      </c>
      <c r="E30">
        <v>79.600000000000009</v>
      </c>
      <c r="F30" t="s">
        <v>53</v>
      </c>
      <c r="G30" t="s">
        <v>51</v>
      </c>
      <c r="H30" t="s">
        <v>38</v>
      </c>
      <c r="I30">
        <v>85</v>
      </c>
    </row>
    <row r="31" spans="1:9" x14ac:dyDescent="0.25">
      <c r="A31">
        <v>106</v>
      </c>
      <c r="B31" t="s">
        <v>8</v>
      </c>
      <c r="C31" t="s">
        <v>3</v>
      </c>
      <c r="D31">
        <v>398</v>
      </c>
      <c r="E31">
        <v>79.600000000000009</v>
      </c>
      <c r="F31" t="s">
        <v>53</v>
      </c>
      <c r="G31" t="s">
        <v>51</v>
      </c>
      <c r="H31" t="s">
        <v>39</v>
      </c>
      <c r="I31">
        <v>80</v>
      </c>
    </row>
    <row r="32" spans="1:9" x14ac:dyDescent="0.25">
      <c r="A32">
        <v>107</v>
      </c>
      <c r="B32" t="s">
        <v>9</v>
      </c>
      <c r="C32" t="s">
        <v>3</v>
      </c>
      <c r="D32">
        <v>185</v>
      </c>
      <c r="E32">
        <v>37</v>
      </c>
      <c r="F32" t="s">
        <v>55</v>
      </c>
      <c r="G32" t="s">
        <v>56</v>
      </c>
      <c r="H32" t="s">
        <v>36</v>
      </c>
      <c r="I32">
        <v>32</v>
      </c>
    </row>
    <row r="33" spans="1:9" x14ac:dyDescent="0.25">
      <c r="A33">
        <v>107</v>
      </c>
      <c r="B33" t="s">
        <v>9</v>
      </c>
      <c r="C33" t="s">
        <v>3</v>
      </c>
      <c r="D33">
        <v>185</v>
      </c>
      <c r="E33">
        <v>37</v>
      </c>
      <c r="F33" t="s">
        <v>55</v>
      </c>
      <c r="G33" t="s">
        <v>56</v>
      </c>
      <c r="H33" t="s">
        <v>37</v>
      </c>
      <c r="I33">
        <v>38</v>
      </c>
    </row>
    <row r="34" spans="1:9" x14ac:dyDescent="0.25">
      <c r="A34">
        <v>107</v>
      </c>
      <c r="B34" t="s">
        <v>9</v>
      </c>
      <c r="C34" t="s">
        <v>3</v>
      </c>
      <c r="D34">
        <v>185</v>
      </c>
      <c r="E34">
        <v>37</v>
      </c>
      <c r="F34" t="s">
        <v>55</v>
      </c>
      <c r="G34" t="s">
        <v>56</v>
      </c>
      <c r="H34" t="s">
        <v>40</v>
      </c>
      <c r="I34">
        <v>41</v>
      </c>
    </row>
    <row r="35" spans="1:9" x14ac:dyDescent="0.25">
      <c r="A35">
        <v>107</v>
      </c>
      <c r="B35" t="s">
        <v>9</v>
      </c>
      <c r="C35" t="s">
        <v>3</v>
      </c>
      <c r="D35">
        <v>185</v>
      </c>
      <c r="E35">
        <v>37</v>
      </c>
      <c r="F35" t="s">
        <v>55</v>
      </c>
      <c r="G35" t="s">
        <v>56</v>
      </c>
      <c r="H35" t="s">
        <v>38</v>
      </c>
      <c r="I35">
        <v>35</v>
      </c>
    </row>
    <row r="36" spans="1:9" x14ac:dyDescent="0.25">
      <c r="A36">
        <v>107</v>
      </c>
      <c r="B36" t="s">
        <v>9</v>
      </c>
      <c r="C36" t="s">
        <v>3</v>
      </c>
      <c r="D36">
        <v>185</v>
      </c>
      <c r="E36">
        <v>37</v>
      </c>
      <c r="F36" t="s">
        <v>55</v>
      </c>
      <c r="G36" t="s">
        <v>56</v>
      </c>
      <c r="H36" t="s">
        <v>39</v>
      </c>
      <c r="I36">
        <v>39</v>
      </c>
    </row>
    <row r="37" spans="1:9" x14ac:dyDescent="0.25">
      <c r="A37">
        <v>108</v>
      </c>
      <c r="B37" t="s">
        <v>10</v>
      </c>
      <c r="C37" t="s">
        <v>3</v>
      </c>
      <c r="D37">
        <v>449</v>
      </c>
      <c r="E37">
        <v>89.8</v>
      </c>
      <c r="F37" t="s">
        <v>50</v>
      </c>
      <c r="G37" t="s">
        <v>51</v>
      </c>
      <c r="H37" t="s">
        <v>36</v>
      </c>
      <c r="I37">
        <v>88</v>
      </c>
    </row>
    <row r="38" spans="1:9" x14ac:dyDescent="0.25">
      <c r="A38">
        <v>108</v>
      </c>
      <c r="B38" t="s">
        <v>10</v>
      </c>
      <c r="C38" t="s">
        <v>3</v>
      </c>
      <c r="D38">
        <v>449</v>
      </c>
      <c r="E38">
        <v>89.8</v>
      </c>
      <c r="F38" t="s">
        <v>50</v>
      </c>
      <c r="G38" t="s">
        <v>51</v>
      </c>
      <c r="H38" t="s">
        <v>37</v>
      </c>
      <c r="I38">
        <v>92</v>
      </c>
    </row>
    <row r="39" spans="1:9" x14ac:dyDescent="0.25">
      <c r="A39">
        <v>108</v>
      </c>
      <c r="B39" t="s">
        <v>10</v>
      </c>
      <c r="C39" t="s">
        <v>3</v>
      </c>
      <c r="D39">
        <v>449</v>
      </c>
      <c r="E39">
        <v>89.8</v>
      </c>
      <c r="F39" t="s">
        <v>50</v>
      </c>
      <c r="G39" t="s">
        <v>51</v>
      </c>
      <c r="H39" t="s">
        <v>40</v>
      </c>
      <c r="I39">
        <v>85</v>
      </c>
    </row>
    <row r="40" spans="1:9" x14ac:dyDescent="0.25">
      <c r="A40">
        <v>108</v>
      </c>
      <c r="B40" t="s">
        <v>10</v>
      </c>
      <c r="C40" t="s">
        <v>3</v>
      </c>
      <c r="D40">
        <v>449</v>
      </c>
      <c r="E40">
        <v>89.8</v>
      </c>
      <c r="F40" t="s">
        <v>50</v>
      </c>
      <c r="G40" t="s">
        <v>51</v>
      </c>
      <c r="H40" t="s">
        <v>38</v>
      </c>
      <c r="I40">
        <v>90</v>
      </c>
    </row>
    <row r="41" spans="1:9" x14ac:dyDescent="0.25">
      <c r="A41">
        <v>108</v>
      </c>
      <c r="B41" t="s">
        <v>10</v>
      </c>
      <c r="C41" t="s">
        <v>3</v>
      </c>
      <c r="D41">
        <v>449</v>
      </c>
      <c r="E41">
        <v>89.8</v>
      </c>
      <c r="F41" t="s">
        <v>50</v>
      </c>
      <c r="G41" t="s">
        <v>51</v>
      </c>
      <c r="H41" t="s">
        <v>39</v>
      </c>
      <c r="I41">
        <v>94</v>
      </c>
    </row>
    <row r="42" spans="1:9" x14ac:dyDescent="0.25">
      <c r="A42">
        <v>109</v>
      </c>
      <c r="B42" t="s">
        <v>11</v>
      </c>
      <c r="C42" t="s">
        <v>3</v>
      </c>
      <c r="D42">
        <v>347</v>
      </c>
      <c r="E42">
        <v>69.399999999999991</v>
      </c>
      <c r="F42" t="s">
        <v>57</v>
      </c>
      <c r="G42" t="s">
        <v>51</v>
      </c>
      <c r="H42" t="s">
        <v>36</v>
      </c>
      <c r="I42">
        <v>71</v>
      </c>
    </row>
    <row r="43" spans="1:9" x14ac:dyDescent="0.25">
      <c r="A43">
        <v>109</v>
      </c>
      <c r="B43" t="s">
        <v>11</v>
      </c>
      <c r="C43" t="s">
        <v>3</v>
      </c>
      <c r="D43">
        <v>347</v>
      </c>
      <c r="E43">
        <v>69.399999999999991</v>
      </c>
      <c r="F43" t="s">
        <v>57</v>
      </c>
      <c r="G43" t="s">
        <v>51</v>
      </c>
      <c r="H43" t="s">
        <v>37</v>
      </c>
      <c r="I43">
        <v>65</v>
      </c>
    </row>
    <row r="44" spans="1:9" x14ac:dyDescent="0.25">
      <c r="A44">
        <v>109</v>
      </c>
      <c r="B44" t="s">
        <v>11</v>
      </c>
      <c r="C44" t="s">
        <v>3</v>
      </c>
      <c r="D44">
        <v>347</v>
      </c>
      <c r="E44">
        <v>69.399999999999991</v>
      </c>
      <c r="F44" t="s">
        <v>57</v>
      </c>
      <c r="G44" t="s">
        <v>51</v>
      </c>
      <c r="H44" t="s">
        <v>40</v>
      </c>
      <c r="I44">
        <v>69</v>
      </c>
    </row>
    <row r="45" spans="1:9" x14ac:dyDescent="0.25">
      <c r="A45">
        <v>109</v>
      </c>
      <c r="B45" t="s">
        <v>11</v>
      </c>
      <c r="C45" t="s">
        <v>3</v>
      </c>
      <c r="D45">
        <v>347</v>
      </c>
      <c r="E45">
        <v>69.399999999999991</v>
      </c>
      <c r="F45" t="s">
        <v>57</v>
      </c>
      <c r="G45" t="s">
        <v>51</v>
      </c>
      <c r="H45" t="s">
        <v>38</v>
      </c>
      <c r="I45">
        <v>74</v>
      </c>
    </row>
    <row r="46" spans="1:9" x14ac:dyDescent="0.25">
      <c r="A46">
        <v>109</v>
      </c>
      <c r="B46" t="s">
        <v>11</v>
      </c>
      <c r="C46" t="s">
        <v>3</v>
      </c>
      <c r="D46">
        <v>347</v>
      </c>
      <c r="E46">
        <v>69.399999999999991</v>
      </c>
      <c r="F46" t="s">
        <v>57</v>
      </c>
      <c r="G46" t="s">
        <v>51</v>
      </c>
      <c r="H46" t="s">
        <v>39</v>
      </c>
      <c r="I46">
        <v>68</v>
      </c>
    </row>
    <row r="47" spans="1:9" x14ac:dyDescent="0.25">
      <c r="A47">
        <v>110</v>
      </c>
      <c r="B47" t="s">
        <v>12</v>
      </c>
      <c r="C47" t="s">
        <v>3</v>
      </c>
      <c r="D47">
        <v>293</v>
      </c>
      <c r="E47">
        <v>58.599999999999994</v>
      </c>
      <c r="F47" t="s">
        <v>54</v>
      </c>
      <c r="G47" t="s">
        <v>51</v>
      </c>
      <c r="H47" t="s">
        <v>36</v>
      </c>
      <c r="I47">
        <v>59</v>
      </c>
    </row>
    <row r="48" spans="1:9" x14ac:dyDescent="0.25">
      <c r="A48">
        <v>110</v>
      </c>
      <c r="B48" t="s">
        <v>12</v>
      </c>
      <c r="C48" t="s">
        <v>3</v>
      </c>
      <c r="D48">
        <v>293</v>
      </c>
      <c r="E48">
        <v>58.599999999999994</v>
      </c>
      <c r="F48" t="s">
        <v>54</v>
      </c>
      <c r="G48" t="s">
        <v>51</v>
      </c>
      <c r="H48" t="s">
        <v>37</v>
      </c>
      <c r="I48">
        <v>54</v>
      </c>
    </row>
    <row r="49" spans="1:9" x14ac:dyDescent="0.25">
      <c r="A49">
        <v>110</v>
      </c>
      <c r="B49" t="s">
        <v>12</v>
      </c>
      <c r="C49" t="s">
        <v>3</v>
      </c>
      <c r="D49">
        <v>293</v>
      </c>
      <c r="E49">
        <v>58.599999999999994</v>
      </c>
      <c r="F49" t="s">
        <v>54</v>
      </c>
      <c r="G49" t="s">
        <v>51</v>
      </c>
      <c r="H49" t="s">
        <v>40</v>
      </c>
      <c r="I49">
        <v>62</v>
      </c>
    </row>
    <row r="50" spans="1:9" x14ac:dyDescent="0.25">
      <c r="A50">
        <v>110</v>
      </c>
      <c r="B50" t="s">
        <v>12</v>
      </c>
      <c r="C50" t="s">
        <v>3</v>
      </c>
      <c r="D50">
        <v>293</v>
      </c>
      <c r="E50">
        <v>58.599999999999994</v>
      </c>
      <c r="F50" t="s">
        <v>54</v>
      </c>
      <c r="G50" t="s">
        <v>51</v>
      </c>
      <c r="H50" t="s">
        <v>38</v>
      </c>
      <c r="I50">
        <v>57</v>
      </c>
    </row>
    <row r="51" spans="1:9" x14ac:dyDescent="0.25">
      <c r="A51">
        <v>110</v>
      </c>
      <c r="B51" t="s">
        <v>12</v>
      </c>
      <c r="C51" t="s">
        <v>3</v>
      </c>
      <c r="D51">
        <v>293</v>
      </c>
      <c r="E51">
        <v>58.599999999999994</v>
      </c>
      <c r="F51" t="s">
        <v>54</v>
      </c>
      <c r="G51" t="s">
        <v>51</v>
      </c>
      <c r="H51" t="s">
        <v>39</v>
      </c>
      <c r="I51">
        <v>61</v>
      </c>
    </row>
    <row r="52" spans="1:9" x14ac:dyDescent="0.25">
      <c r="A52">
        <v>111</v>
      </c>
      <c r="B52" t="s">
        <v>13</v>
      </c>
      <c r="C52" t="s">
        <v>14</v>
      </c>
      <c r="D52">
        <v>423</v>
      </c>
      <c r="E52">
        <v>84.6</v>
      </c>
      <c r="F52" t="s">
        <v>50</v>
      </c>
      <c r="G52" t="s">
        <v>51</v>
      </c>
      <c r="H52" t="s">
        <v>36</v>
      </c>
      <c r="I52">
        <v>84</v>
      </c>
    </row>
    <row r="53" spans="1:9" x14ac:dyDescent="0.25">
      <c r="A53">
        <v>111</v>
      </c>
      <c r="B53" t="s">
        <v>13</v>
      </c>
      <c r="C53" t="s">
        <v>14</v>
      </c>
      <c r="D53">
        <v>423</v>
      </c>
      <c r="E53">
        <v>84.6</v>
      </c>
      <c r="F53" t="s">
        <v>50</v>
      </c>
      <c r="G53" t="s">
        <v>51</v>
      </c>
      <c r="H53" t="s">
        <v>37</v>
      </c>
      <c r="I53">
        <v>79</v>
      </c>
    </row>
    <row r="54" spans="1:9" x14ac:dyDescent="0.25">
      <c r="A54">
        <v>111</v>
      </c>
      <c r="B54" t="s">
        <v>13</v>
      </c>
      <c r="C54" t="s">
        <v>14</v>
      </c>
      <c r="D54">
        <v>423</v>
      </c>
      <c r="E54">
        <v>84.6</v>
      </c>
      <c r="F54" t="s">
        <v>50</v>
      </c>
      <c r="G54" t="s">
        <v>51</v>
      </c>
      <c r="H54" t="s">
        <v>40</v>
      </c>
      <c r="I54">
        <v>91</v>
      </c>
    </row>
    <row r="55" spans="1:9" x14ac:dyDescent="0.25">
      <c r="A55">
        <v>111</v>
      </c>
      <c r="B55" t="s">
        <v>13</v>
      </c>
      <c r="C55" t="s">
        <v>14</v>
      </c>
      <c r="D55">
        <v>423</v>
      </c>
      <c r="E55">
        <v>84.6</v>
      </c>
      <c r="F55" t="s">
        <v>50</v>
      </c>
      <c r="G55" t="s">
        <v>51</v>
      </c>
      <c r="H55" t="s">
        <v>38</v>
      </c>
      <c r="I55">
        <v>87</v>
      </c>
    </row>
    <row r="56" spans="1:9" x14ac:dyDescent="0.25">
      <c r="A56">
        <v>111</v>
      </c>
      <c r="B56" t="s">
        <v>13</v>
      </c>
      <c r="C56" t="s">
        <v>14</v>
      </c>
      <c r="D56">
        <v>423</v>
      </c>
      <c r="E56">
        <v>84.6</v>
      </c>
      <c r="F56" t="s">
        <v>50</v>
      </c>
      <c r="G56" t="s">
        <v>51</v>
      </c>
      <c r="H56" t="s">
        <v>39</v>
      </c>
      <c r="I56">
        <v>82</v>
      </c>
    </row>
    <row r="57" spans="1:9" x14ac:dyDescent="0.25">
      <c r="A57">
        <v>112</v>
      </c>
      <c r="B57" t="s">
        <v>15</v>
      </c>
      <c r="C57" t="s">
        <v>14</v>
      </c>
      <c r="D57">
        <v>374</v>
      </c>
      <c r="E57">
        <v>74.8</v>
      </c>
      <c r="F57" t="s">
        <v>53</v>
      </c>
      <c r="G57" t="s">
        <v>51</v>
      </c>
      <c r="H57" t="s">
        <v>36</v>
      </c>
      <c r="I57">
        <v>73</v>
      </c>
    </row>
    <row r="58" spans="1:9" x14ac:dyDescent="0.25">
      <c r="A58">
        <v>112</v>
      </c>
      <c r="B58" t="s">
        <v>15</v>
      </c>
      <c r="C58" t="s">
        <v>14</v>
      </c>
      <c r="D58">
        <v>374</v>
      </c>
      <c r="E58">
        <v>74.8</v>
      </c>
      <c r="F58" t="s">
        <v>53</v>
      </c>
      <c r="G58" t="s">
        <v>51</v>
      </c>
      <c r="H58" t="s">
        <v>37</v>
      </c>
      <c r="I58">
        <v>77</v>
      </c>
    </row>
    <row r="59" spans="1:9" x14ac:dyDescent="0.25">
      <c r="A59">
        <v>112</v>
      </c>
      <c r="B59" t="s">
        <v>15</v>
      </c>
      <c r="C59" t="s">
        <v>14</v>
      </c>
      <c r="D59">
        <v>374</v>
      </c>
      <c r="E59">
        <v>74.8</v>
      </c>
      <c r="F59" t="s">
        <v>53</v>
      </c>
      <c r="G59" t="s">
        <v>51</v>
      </c>
      <c r="H59" t="s">
        <v>40</v>
      </c>
      <c r="I59">
        <v>70</v>
      </c>
    </row>
    <row r="60" spans="1:9" x14ac:dyDescent="0.25">
      <c r="A60">
        <v>112</v>
      </c>
      <c r="B60" t="s">
        <v>15</v>
      </c>
      <c r="C60" t="s">
        <v>14</v>
      </c>
      <c r="D60">
        <v>374</v>
      </c>
      <c r="E60">
        <v>74.8</v>
      </c>
      <c r="F60" t="s">
        <v>53</v>
      </c>
      <c r="G60" t="s">
        <v>51</v>
      </c>
      <c r="H60" t="s">
        <v>38</v>
      </c>
      <c r="I60">
        <v>75</v>
      </c>
    </row>
    <row r="61" spans="1:9" x14ac:dyDescent="0.25">
      <c r="A61">
        <v>112</v>
      </c>
      <c r="B61" t="s">
        <v>15</v>
      </c>
      <c r="C61" t="s">
        <v>14</v>
      </c>
      <c r="D61">
        <v>374</v>
      </c>
      <c r="E61">
        <v>74.8</v>
      </c>
      <c r="F61" t="s">
        <v>53</v>
      </c>
      <c r="G61" t="s">
        <v>51</v>
      </c>
      <c r="H61" t="s">
        <v>39</v>
      </c>
      <c r="I61">
        <v>79</v>
      </c>
    </row>
    <row r="62" spans="1:9" x14ac:dyDescent="0.25">
      <c r="A62">
        <v>113</v>
      </c>
      <c r="B62" t="s">
        <v>16</v>
      </c>
      <c r="C62" t="s">
        <v>14</v>
      </c>
      <c r="D62">
        <v>252</v>
      </c>
      <c r="E62">
        <v>50.4</v>
      </c>
      <c r="F62" t="s">
        <v>54</v>
      </c>
      <c r="G62" t="s">
        <v>51</v>
      </c>
      <c r="H62" t="s">
        <v>36</v>
      </c>
      <c r="I62">
        <v>46</v>
      </c>
    </row>
    <row r="63" spans="1:9" x14ac:dyDescent="0.25">
      <c r="A63">
        <v>113</v>
      </c>
      <c r="B63" t="s">
        <v>16</v>
      </c>
      <c r="C63" t="s">
        <v>14</v>
      </c>
      <c r="D63">
        <v>252</v>
      </c>
      <c r="E63">
        <v>50.4</v>
      </c>
      <c r="F63" t="s">
        <v>54</v>
      </c>
      <c r="G63" t="s">
        <v>51</v>
      </c>
      <c r="H63" t="s">
        <v>37</v>
      </c>
      <c r="I63">
        <v>52</v>
      </c>
    </row>
    <row r="64" spans="1:9" x14ac:dyDescent="0.25">
      <c r="A64">
        <v>113</v>
      </c>
      <c r="B64" t="s">
        <v>16</v>
      </c>
      <c r="C64" t="s">
        <v>14</v>
      </c>
      <c r="D64">
        <v>252</v>
      </c>
      <c r="E64">
        <v>50.4</v>
      </c>
      <c r="F64" t="s">
        <v>54</v>
      </c>
      <c r="G64" t="s">
        <v>51</v>
      </c>
      <c r="H64" t="s">
        <v>40</v>
      </c>
      <c r="I64">
        <v>48</v>
      </c>
    </row>
    <row r="65" spans="1:9" x14ac:dyDescent="0.25">
      <c r="A65">
        <v>113</v>
      </c>
      <c r="B65" t="s">
        <v>16</v>
      </c>
      <c r="C65" t="s">
        <v>14</v>
      </c>
      <c r="D65">
        <v>252</v>
      </c>
      <c r="E65">
        <v>50.4</v>
      </c>
      <c r="F65" t="s">
        <v>54</v>
      </c>
      <c r="G65" t="s">
        <v>51</v>
      </c>
      <c r="H65" t="s">
        <v>38</v>
      </c>
      <c r="I65">
        <v>55</v>
      </c>
    </row>
    <row r="66" spans="1:9" x14ac:dyDescent="0.25">
      <c r="A66">
        <v>113</v>
      </c>
      <c r="B66" t="s">
        <v>16</v>
      </c>
      <c r="C66" t="s">
        <v>14</v>
      </c>
      <c r="D66">
        <v>252</v>
      </c>
      <c r="E66">
        <v>50.4</v>
      </c>
      <c r="F66" t="s">
        <v>54</v>
      </c>
      <c r="G66" t="s">
        <v>51</v>
      </c>
      <c r="H66" t="s">
        <v>39</v>
      </c>
      <c r="I66">
        <v>51</v>
      </c>
    </row>
    <row r="67" spans="1:9" x14ac:dyDescent="0.25">
      <c r="A67">
        <v>114</v>
      </c>
      <c r="B67" t="s">
        <v>17</v>
      </c>
      <c r="C67" t="s">
        <v>14</v>
      </c>
      <c r="D67">
        <v>465</v>
      </c>
      <c r="E67">
        <v>93</v>
      </c>
      <c r="F67" t="s">
        <v>52</v>
      </c>
      <c r="G67" t="s">
        <v>51</v>
      </c>
      <c r="H67" t="s">
        <v>36</v>
      </c>
      <c r="I67">
        <v>95</v>
      </c>
    </row>
    <row r="68" spans="1:9" x14ac:dyDescent="0.25">
      <c r="A68">
        <v>114</v>
      </c>
      <c r="B68" t="s">
        <v>17</v>
      </c>
      <c r="C68" t="s">
        <v>14</v>
      </c>
      <c r="D68">
        <v>465</v>
      </c>
      <c r="E68">
        <v>93</v>
      </c>
      <c r="F68" t="s">
        <v>52</v>
      </c>
      <c r="G68" t="s">
        <v>51</v>
      </c>
      <c r="H68" t="s">
        <v>37</v>
      </c>
      <c r="I68">
        <v>89</v>
      </c>
    </row>
    <row r="69" spans="1:9" x14ac:dyDescent="0.25">
      <c r="A69">
        <v>114</v>
      </c>
      <c r="B69" t="s">
        <v>17</v>
      </c>
      <c r="C69" t="s">
        <v>14</v>
      </c>
      <c r="D69">
        <v>465</v>
      </c>
      <c r="E69">
        <v>93</v>
      </c>
      <c r="F69" t="s">
        <v>52</v>
      </c>
      <c r="G69" t="s">
        <v>51</v>
      </c>
      <c r="H69" t="s">
        <v>40</v>
      </c>
      <c r="I69">
        <v>93</v>
      </c>
    </row>
    <row r="70" spans="1:9" x14ac:dyDescent="0.25">
      <c r="A70">
        <v>114</v>
      </c>
      <c r="B70" t="s">
        <v>17</v>
      </c>
      <c r="C70" t="s">
        <v>14</v>
      </c>
      <c r="D70">
        <v>465</v>
      </c>
      <c r="E70">
        <v>93</v>
      </c>
      <c r="F70" t="s">
        <v>52</v>
      </c>
      <c r="G70" t="s">
        <v>51</v>
      </c>
      <c r="H70" t="s">
        <v>38</v>
      </c>
      <c r="I70">
        <v>97</v>
      </c>
    </row>
    <row r="71" spans="1:9" x14ac:dyDescent="0.25">
      <c r="A71">
        <v>114</v>
      </c>
      <c r="B71" t="s">
        <v>17</v>
      </c>
      <c r="C71" t="s">
        <v>14</v>
      </c>
      <c r="D71">
        <v>465</v>
      </c>
      <c r="E71">
        <v>93</v>
      </c>
      <c r="F71" t="s">
        <v>52</v>
      </c>
      <c r="G71" t="s">
        <v>51</v>
      </c>
      <c r="H71" t="s">
        <v>39</v>
      </c>
      <c r="I71">
        <v>91</v>
      </c>
    </row>
    <row r="72" spans="1:9" x14ac:dyDescent="0.25">
      <c r="A72">
        <v>115</v>
      </c>
      <c r="B72" t="s">
        <v>18</v>
      </c>
      <c r="C72" t="s">
        <v>14</v>
      </c>
      <c r="D72">
        <v>333</v>
      </c>
      <c r="E72">
        <v>66.600000000000009</v>
      </c>
      <c r="F72" t="s">
        <v>57</v>
      </c>
      <c r="G72" t="s">
        <v>51</v>
      </c>
      <c r="H72" t="s">
        <v>36</v>
      </c>
      <c r="I72">
        <v>64</v>
      </c>
    </row>
    <row r="73" spans="1:9" x14ac:dyDescent="0.25">
      <c r="A73">
        <v>115</v>
      </c>
      <c r="B73" t="s">
        <v>18</v>
      </c>
      <c r="C73" t="s">
        <v>14</v>
      </c>
      <c r="D73">
        <v>333</v>
      </c>
      <c r="E73">
        <v>66.600000000000009</v>
      </c>
      <c r="F73" t="s">
        <v>57</v>
      </c>
      <c r="G73" t="s">
        <v>51</v>
      </c>
      <c r="H73" t="s">
        <v>37</v>
      </c>
      <c r="I73">
        <v>69</v>
      </c>
    </row>
    <row r="74" spans="1:9" x14ac:dyDescent="0.25">
      <c r="A74">
        <v>115</v>
      </c>
      <c r="B74" t="s">
        <v>18</v>
      </c>
      <c r="C74" t="s">
        <v>14</v>
      </c>
      <c r="D74">
        <v>333</v>
      </c>
      <c r="E74">
        <v>66.600000000000009</v>
      </c>
      <c r="F74" t="s">
        <v>57</v>
      </c>
      <c r="G74" t="s">
        <v>51</v>
      </c>
      <c r="H74" t="s">
        <v>40</v>
      </c>
      <c r="I74">
        <v>61</v>
      </c>
    </row>
    <row r="75" spans="1:9" x14ac:dyDescent="0.25">
      <c r="A75">
        <v>115</v>
      </c>
      <c r="B75" t="s">
        <v>18</v>
      </c>
      <c r="C75" t="s">
        <v>14</v>
      </c>
      <c r="D75">
        <v>333</v>
      </c>
      <c r="E75">
        <v>66.600000000000009</v>
      </c>
      <c r="F75" t="s">
        <v>57</v>
      </c>
      <c r="G75" t="s">
        <v>51</v>
      </c>
      <c r="H75" t="s">
        <v>38</v>
      </c>
      <c r="I75">
        <v>67</v>
      </c>
    </row>
    <row r="76" spans="1:9" x14ac:dyDescent="0.25">
      <c r="A76">
        <v>115</v>
      </c>
      <c r="B76" t="s">
        <v>18</v>
      </c>
      <c r="C76" t="s">
        <v>14</v>
      </c>
      <c r="D76">
        <v>333</v>
      </c>
      <c r="E76">
        <v>66.600000000000009</v>
      </c>
      <c r="F76" t="s">
        <v>57</v>
      </c>
      <c r="G76" t="s">
        <v>51</v>
      </c>
      <c r="H76" t="s">
        <v>39</v>
      </c>
      <c r="I76">
        <v>72</v>
      </c>
    </row>
    <row r="77" spans="1:9" x14ac:dyDescent="0.25">
      <c r="A77">
        <v>116</v>
      </c>
      <c r="B77" t="s">
        <v>19</v>
      </c>
      <c r="C77" t="s">
        <v>14</v>
      </c>
      <c r="D77">
        <v>417</v>
      </c>
      <c r="E77">
        <v>83.399999999999991</v>
      </c>
      <c r="F77" t="s">
        <v>50</v>
      </c>
      <c r="G77" t="s">
        <v>51</v>
      </c>
      <c r="H77" t="s">
        <v>36</v>
      </c>
      <c r="I77">
        <v>81</v>
      </c>
    </row>
    <row r="78" spans="1:9" x14ac:dyDescent="0.25">
      <c r="A78">
        <v>116</v>
      </c>
      <c r="B78" t="s">
        <v>19</v>
      </c>
      <c r="C78" t="s">
        <v>14</v>
      </c>
      <c r="D78">
        <v>417</v>
      </c>
      <c r="E78">
        <v>83.399999999999991</v>
      </c>
      <c r="F78" t="s">
        <v>50</v>
      </c>
      <c r="G78" t="s">
        <v>51</v>
      </c>
      <c r="H78" t="s">
        <v>37</v>
      </c>
      <c r="I78">
        <v>86</v>
      </c>
    </row>
    <row r="79" spans="1:9" x14ac:dyDescent="0.25">
      <c r="A79">
        <v>116</v>
      </c>
      <c r="B79" t="s">
        <v>19</v>
      </c>
      <c r="C79" t="s">
        <v>14</v>
      </c>
      <c r="D79">
        <v>417</v>
      </c>
      <c r="E79">
        <v>83.399999999999991</v>
      </c>
      <c r="F79" t="s">
        <v>50</v>
      </c>
      <c r="G79" t="s">
        <v>51</v>
      </c>
      <c r="H79" t="s">
        <v>40</v>
      </c>
      <c r="I79">
        <v>83</v>
      </c>
    </row>
    <row r="80" spans="1:9" x14ac:dyDescent="0.25">
      <c r="A80">
        <v>116</v>
      </c>
      <c r="B80" t="s">
        <v>19</v>
      </c>
      <c r="C80" t="s">
        <v>14</v>
      </c>
      <c r="D80">
        <v>417</v>
      </c>
      <c r="E80">
        <v>83.399999999999991</v>
      </c>
      <c r="F80" t="s">
        <v>50</v>
      </c>
      <c r="G80" t="s">
        <v>51</v>
      </c>
      <c r="H80" t="s">
        <v>38</v>
      </c>
      <c r="I80">
        <v>79</v>
      </c>
    </row>
    <row r="81" spans="1:9" x14ac:dyDescent="0.25">
      <c r="A81">
        <v>116</v>
      </c>
      <c r="B81" t="s">
        <v>19</v>
      </c>
      <c r="C81" t="s">
        <v>14</v>
      </c>
      <c r="D81">
        <v>417</v>
      </c>
      <c r="E81">
        <v>83.399999999999991</v>
      </c>
      <c r="F81" t="s">
        <v>50</v>
      </c>
      <c r="G81" t="s">
        <v>51</v>
      </c>
      <c r="H81" t="s">
        <v>39</v>
      </c>
      <c r="I81">
        <v>88</v>
      </c>
    </row>
    <row r="82" spans="1:9" x14ac:dyDescent="0.25">
      <c r="A82">
        <v>117</v>
      </c>
      <c r="B82" t="s">
        <v>20</v>
      </c>
      <c r="C82" t="s">
        <v>14</v>
      </c>
      <c r="D82">
        <v>198</v>
      </c>
      <c r="E82">
        <v>39.6</v>
      </c>
      <c r="F82" t="s">
        <v>55</v>
      </c>
      <c r="G82" t="s">
        <v>56</v>
      </c>
      <c r="H82" t="s">
        <v>36</v>
      </c>
      <c r="I82">
        <v>37</v>
      </c>
    </row>
    <row r="83" spans="1:9" x14ac:dyDescent="0.25">
      <c r="A83">
        <v>117</v>
      </c>
      <c r="B83" t="s">
        <v>20</v>
      </c>
      <c r="C83" t="s">
        <v>14</v>
      </c>
      <c r="D83">
        <v>198</v>
      </c>
      <c r="E83">
        <v>39.6</v>
      </c>
      <c r="F83" t="s">
        <v>55</v>
      </c>
      <c r="G83" t="s">
        <v>56</v>
      </c>
      <c r="H83" t="s">
        <v>37</v>
      </c>
      <c r="I83">
        <v>42</v>
      </c>
    </row>
    <row r="84" spans="1:9" x14ac:dyDescent="0.25">
      <c r="A84">
        <v>117</v>
      </c>
      <c r="B84" t="s">
        <v>20</v>
      </c>
      <c r="C84" t="s">
        <v>14</v>
      </c>
      <c r="D84">
        <v>198</v>
      </c>
      <c r="E84">
        <v>39.6</v>
      </c>
      <c r="F84" t="s">
        <v>55</v>
      </c>
      <c r="G84" t="s">
        <v>56</v>
      </c>
      <c r="H84" t="s">
        <v>40</v>
      </c>
      <c r="I84">
        <v>35</v>
      </c>
    </row>
    <row r="85" spans="1:9" x14ac:dyDescent="0.25">
      <c r="A85">
        <v>117</v>
      </c>
      <c r="B85" t="s">
        <v>20</v>
      </c>
      <c r="C85" t="s">
        <v>14</v>
      </c>
      <c r="D85">
        <v>198</v>
      </c>
      <c r="E85">
        <v>39.6</v>
      </c>
      <c r="F85" t="s">
        <v>55</v>
      </c>
      <c r="G85" t="s">
        <v>56</v>
      </c>
      <c r="H85" t="s">
        <v>38</v>
      </c>
      <c r="I85">
        <v>44</v>
      </c>
    </row>
    <row r="86" spans="1:9" x14ac:dyDescent="0.25">
      <c r="A86">
        <v>117</v>
      </c>
      <c r="B86" t="s">
        <v>20</v>
      </c>
      <c r="C86" t="s">
        <v>14</v>
      </c>
      <c r="D86">
        <v>198</v>
      </c>
      <c r="E86">
        <v>39.6</v>
      </c>
      <c r="F86" t="s">
        <v>55</v>
      </c>
      <c r="G86" t="s">
        <v>56</v>
      </c>
      <c r="H86" t="s">
        <v>39</v>
      </c>
      <c r="I86">
        <v>40</v>
      </c>
    </row>
    <row r="87" spans="1:9" x14ac:dyDescent="0.25">
      <c r="A87">
        <v>118</v>
      </c>
      <c r="B87" t="s">
        <v>21</v>
      </c>
      <c r="C87" t="s">
        <v>14</v>
      </c>
      <c r="D87">
        <v>368</v>
      </c>
      <c r="E87">
        <v>73.599999999999994</v>
      </c>
      <c r="F87" t="s">
        <v>53</v>
      </c>
      <c r="G87" t="s">
        <v>51</v>
      </c>
      <c r="H87" t="s">
        <v>36</v>
      </c>
      <c r="I87">
        <v>69</v>
      </c>
    </row>
    <row r="88" spans="1:9" x14ac:dyDescent="0.25">
      <c r="A88">
        <v>118</v>
      </c>
      <c r="B88" t="s">
        <v>21</v>
      </c>
      <c r="C88" t="s">
        <v>14</v>
      </c>
      <c r="D88">
        <v>368</v>
      </c>
      <c r="E88">
        <v>73.599999999999994</v>
      </c>
      <c r="F88" t="s">
        <v>53</v>
      </c>
      <c r="G88" t="s">
        <v>51</v>
      </c>
      <c r="H88" t="s">
        <v>37</v>
      </c>
      <c r="I88">
        <v>74</v>
      </c>
    </row>
    <row r="89" spans="1:9" x14ac:dyDescent="0.25">
      <c r="A89">
        <v>118</v>
      </c>
      <c r="B89" t="s">
        <v>21</v>
      </c>
      <c r="C89" t="s">
        <v>14</v>
      </c>
      <c r="D89">
        <v>368</v>
      </c>
      <c r="E89">
        <v>73.599999999999994</v>
      </c>
      <c r="F89" t="s">
        <v>53</v>
      </c>
      <c r="G89" t="s">
        <v>51</v>
      </c>
      <c r="H89" t="s">
        <v>40</v>
      </c>
      <c r="I89">
        <v>78</v>
      </c>
    </row>
    <row r="90" spans="1:9" x14ac:dyDescent="0.25">
      <c r="A90">
        <v>118</v>
      </c>
      <c r="B90" t="s">
        <v>21</v>
      </c>
      <c r="C90" t="s">
        <v>14</v>
      </c>
      <c r="D90">
        <v>368</v>
      </c>
      <c r="E90">
        <v>73.599999999999994</v>
      </c>
      <c r="F90" t="s">
        <v>53</v>
      </c>
      <c r="G90" t="s">
        <v>51</v>
      </c>
      <c r="H90" t="s">
        <v>38</v>
      </c>
      <c r="I90">
        <v>71</v>
      </c>
    </row>
    <row r="91" spans="1:9" x14ac:dyDescent="0.25">
      <c r="A91">
        <v>118</v>
      </c>
      <c r="B91" t="s">
        <v>21</v>
      </c>
      <c r="C91" t="s">
        <v>14</v>
      </c>
      <c r="D91">
        <v>368</v>
      </c>
      <c r="E91">
        <v>73.599999999999994</v>
      </c>
      <c r="F91" t="s">
        <v>53</v>
      </c>
      <c r="G91" t="s">
        <v>51</v>
      </c>
      <c r="H91" t="s">
        <v>39</v>
      </c>
      <c r="I91">
        <v>76</v>
      </c>
    </row>
    <row r="92" spans="1:9" x14ac:dyDescent="0.25">
      <c r="A92">
        <v>119</v>
      </c>
      <c r="B92" t="s">
        <v>22</v>
      </c>
      <c r="C92" t="s">
        <v>14</v>
      </c>
      <c r="D92">
        <v>283</v>
      </c>
      <c r="E92">
        <v>56.599999999999994</v>
      </c>
      <c r="F92" t="s">
        <v>54</v>
      </c>
      <c r="G92" t="s">
        <v>51</v>
      </c>
      <c r="H92" t="s">
        <v>36</v>
      </c>
      <c r="I92">
        <v>53</v>
      </c>
    </row>
    <row r="93" spans="1:9" x14ac:dyDescent="0.25">
      <c r="A93">
        <v>119</v>
      </c>
      <c r="B93" t="s">
        <v>22</v>
      </c>
      <c r="C93" t="s">
        <v>14</v>
      </c>
      <c r="D93">
        <v>283</v>
      </c>
      <c r="E93">
        <v>56.599999999999994</v>
      </c>
      <c r="F93" t="s">
        <v>54</v>
      </c>
      <c r="G93" t="s">
        <v>51</v>
      </c>
      <c r="H93" t="s">
        <v>37</v>
      </c>
      <c r="I93">
        <v>58</v>
      </c>
    </row>
    <row r="94" spans="1:9" x14ac:dyDescent="0.25">
      <c r="A94">
        <v>119</v>
      </c>
      <c r="B94" t="s">
        <v>22</v>
      </c>
      <c r="C94" t="s">
        <v>14</v>
      </c>
      <c r="D94">
        <v>283</v>
      </c>
      <c r="E94">
        <v>56.599999999999994</v>
      </c>
      <c r="F94" t="s">
        <v>54</v>
      </c>
      <c r="G94" t="s">
        <v>51</v>
      </c>
      <c r="H94" t="s">
        <v>40</v>
      </c>
      <c r="I94">
        <v>55</v>
      </c>
    </row>
    <row r="95" spans="1:9" x14ac:dyDescent="0.25">
      <c r="A95">
        <v>119</v>
      </c>
      <c r="B95" t="s">
        <v>22</v>
      </c>
      <c r="C95" t="s">
        <v>14</v>
      </c>
      <c r="D95">
        <v>283</v>
      </c>
      <c r="E95">
        <v>56.599999999999994</v>
      </c>
      <c r="F95" t="s">
        <v>54</v>
      </c>
      <c r="G95" t="s">
        <v>51</v>
      </c>
      <c r="H95" t="s">
        <v>38</v>
      </c>
      <c r="I95">
        <v>60</v>
      </c>
    </row>
    <row r="96" spans="1:9" x14ac:dyDescent="0.25">
      <c r="A96">
        <v>119</v>
      </c>
      <c r="B96" t="s">
        <v>22</v>
      </c>
      <c r="C96" t="s">
        <v>14</v>
      </c>
      <c r="D96">
        <v>283</v>
      </c>
      <c r="E96">
        <v>56.599999999999994</v>
      </c>
      <c r="F96" t="s">
        <v>54</v>
      </c>
      <c r="G96" t="s">
        <v>51</v>
      </c>
      <c r="H96" t="s">
        <v>39</v>
      </c>
      <c r="I96">
        <v>57</v>
      </c>
    </row>
    <row r="97" spans="1:9" x14ac:dyDescent="0.25">
      <c r="A97">
        <v>120</v>
      </c>
      <c r="B97" t="s">
        <v>23</v>
      </c>
      <c r="C97" t="s">
        <v>14</v>
      </c>
      <c r="D97">
        <v>450</v>
      </c>
      <c r="E97">
        <v>90</v>
      </c>
      <c r="F97" t="s">
        <v>52</v>
      </c>
      <c r="G97" t="s">
        <v>51</v>
      </c>
      <c r="H97" t="s">
        <v>36</v>
      </c>
      <c r="I97">
        <v>89</v>
      </c>
    </row>
    <row r="98" spans="1:9" x14ac:dyDescent="0.25">
      <c r="A98">
        <v>120</v>
      </c>
      <c r="B98" t="s">
        <v>23</v>
      </c>
      <c r="C98" t="s">
        <v>14</v>
      </c>
      <c r="D98">
        <v>450</v>
      </c>
      <c r="E98">
        <v>90</v>
      </c>
      <c r="F98" t="s">
        <v>52</v>
      </c>
      <c r="G98" t="s">
        <v>51</v>
      </c>
      <c r="H98" t="s">
        <v>37</v>
      </c>
      <c r="I98">
        <v>91</v>
      </c>
    </row>
    <row r="99" spans="1:9" x14ac:dyDescent="0.25">
      <c r="A99">
        <v>120</v>
      </c>
      <c r="B99" t="s">
        <v>23</v>
      </c>
      <c r="C99" t="s">
        <v>14</v>
      </c>
      <c r="D99">
        <v>450</v>
      </c>
      <c r="E99">
        <v>90</v>
      </c>
      <c r="F99" t="s">
        <v>52</v>
      </c>
      <c r="G99" t="s">
        <v>51</v>
      </c>
      <c r="H99" t="s">
        <v>40</v>
      </c>
      <c r="I99">
        <v>87</v>
      </c>
    </row>
    <row r="100" spans="1:9" x14ac:dyDescent="0.25">
      <c r="A100">
        <v>120</v>
      </c>
      <c r="B100" t="s">
        <v>23</v>
      </c>
      <c r="C100" t="s">
        <v>14</v>
      </c>
      <c r="D100">
        <v>450</v>
      </c>
      <c r="E100">
        <v>90</v>
      </c>
      <c r="F100" t="s">
        <v>52</v>
      </c>
      <c r="G100" t="s">
        <v>51</v>
      </c>
      <c r="H100" t="s">
        <v>38</v>
      </c>
      <c r="I100">
        <v>93</v>
      </c>
    </row>
    <row r="101" spans="1:9" x14ac:dyDescent="0.25">
      <c r="A101">
        <v>120</v>
      </c>
      <c r="B101" t="s">
        <v>23</v>
      </c>
      <c r="C101" t="s">
        <v>14</v>
      </c>
      <c r="D101">
        <v>450</v>
      </c>
      <c r="E101">
        <v>90</v>
      </c>
      <c r="F101" t="s">
        <v>52</v>
      </c>
      <c r="G101" t="s">
        <v>51</v>
      </c>
      <c r="H101" t="s">
        <v>39</v>
      </c>
      <c r="I101">
        <v>90</v>
      </c>
    </row>
    <row r="102" spans="1:9" x14ac:dyDescent="0.25">
      <c r="A102">
        <v>121</v>
      </c>
      <c r="B102" t="s">
        <v>24</v>
      </c>
      <c r="C102" t="s">
        <v>25</v>
      </c>
      <c r="D102">
        <v>398</v>
      </c>
      <c r="E102">
        <v>79.600000000000009</v>
      </c>
      <c r="F102" t="s">
        <v>53</v>
      </c>
      <c r="G102" t="s">
        <v>51</v>
      </c>
      <c r="H102" t="s">
        <v>36</v>
      </c>
      <c r="I102">
        <v>76</v>
      </c>
    </row>
    <row r="103" spans="1:9" x14ac:dyDescent="0.25">
      <c r="A103">
        <v>121</v>
      </c>
      <c r="B103" t="s">
        <v>24</v>
      </c>
      <c r="C103" t="s">
        <v>25</v>
      </c>
      <c r="D103">
        <v>398</v>
      </c>
      <c r="E103">
        <v>79.600000000000009</v>
      </c>
      <c r="F103" t="s">
        <v>53</v>
      </c>
      <c r="G103" t="s">
        <v>51</v>
      </c>
      <c r="H103" t="s">
        <v>37</v>
      </c>
      <c r="I103">
        <v>82</v>
      </c>
    </row>
    <row r="104" spans="1:9" x14ac:dyDescent="0.25">
      <c r="A104">
        <v>121</v>
      </c>
      <c r="B104" t="s">
        <v>24</v>
      </c>
      <c r="C104" t="s">
        <v>25</v>
      </c>
      <c r="D104">
        <v>398</v>
      </c>
      <c r="E104">
        <v>79.600000000000009</v>
      </c>
      <c r="F104" t="s">
        <v>53</v>
      </c>
      <c r="G104" t="s">
        <v>51</v>
      </c>
      <c r="H104" t="s">
        <v>40</v>
      </c>
      <c r="I104">
        <v>79</v>
      </c>
    </row>
    <row r="105" spans="1:9" x14ac:dyDescent="0.25">
      <c r="A105">
        <v>121</v>
      </c>
      <c r="B105" t="s">
        <v>24</v>
      </c>
      <c r="C105" t="s">
        <v>25</v>
      </c>
      <c r="D105">
        <v>398</v>
      </c>
      <c r="E105">
        <v>79.600000000000009</v>
      </c>
      <c r="F105" t="s">
        <v>53</v>
      </c>
      <c r="G105" t="s">
        <v>51</v>
      </c>
      <c r="H105" t="s">
        <v>38</v>
      </c>
      <c r="I105">
        <v>84</v>
      </c>
    </row>
    <row r="106" spans="1:9" x14ac:dyDescent="0.25">
      <c r="A106">
        <v>121</v>
      </c>
      <c r="B106" t="s">
        <v>24</v>
      </c>
      <c r="C106" t="s">
        <v>25</v>
      </c>
      <c r="D106">
        <v>398</v>
      </c>
      <c r="E106">
        <v>79.600000000000009</v>
      </c>
      <c r="F106" t="s">
        <v>53</v>
      </c>
      <c r="G106" t="s">
        <v>51</v>
      </c>
      <c r="H106" t="s">
        <v>39</v>
      </c>
      <c r="I106">
        <v>77</v>
      </c>
    </row>
    <row r="107" spans="1:9" x14ac:dyDescent="0.25">
      <c r="A107">
        <v>122</v>
      </c>
      <c r="B107" t="s">
        <v>26</v>
      </c>
      <c r="C107" t="s">
        <v>25</v>
      </c>
      <c r="D107">
        <v>327</v>
      </c>
      <c r="E107">
        <v>65.400000000000006</v>
      </c>
      <c r="F107" t="s">
        <v>57</v>
      </c>
      <c r="G107" t="s">
        <v>51</v>
      </c>
      <c r="H107" t="s">
        <v>36</v>
      </c>
      <c r="I107">
        <v>62</v>
      </c>
    </row>
    <row r="108" spans="1:9" x14ac:dyDescent="0.25">
      <c r="A108">
        <v>122</v>
      </c>
      <c r="B108" t="s">
        <v>26</v>
      </c>
      <c r="C108" t="s">
        <v>25</v>
      </c>
      <c r="D108">
        <v>327</v>
      </c>
      <c r="E108">
        <v>65.400000000000006</v>
      </c>
      <c r="F108" t="s">
        <v>57</v>
      </c>
      <c r="G108" t="s">
        <v>51</v>
      </c>
      <c r="H108" t="s">
        <v>37</v>
      </c>
      <c r="I108">
        <v>67</v>
      </c>
    </row>
    <row r="109" spans="1:9" x14ac:dyDescent="0.25">
      <c r="A109">
        <v>122</v>
      </c>
      <c r="B109" t="s">
        <v>26</v>
      </c>
      <c r="C109" t="s">
        <v>25</v>
      </c>
      <c r="D109">
        <v>327</v>
      </c>
      <c r="E109">
        <v>65.400000000000006</v>
      </c>
      <c r="F109" t="s">
        <v>57</v>
      </c>
      <c r="G109" t="s">
        <v>51</v>
      </c>
      <c r="H109" t="s">
        <v>40</v>
      </c>
      <c r="I109">
        <v>64</v>
      </c>
    </row>
    <row r="110" spans="1:9" x14ac:dyDescent="0.25">
      <c r="A110">
        <v>122</v>
      </c>
      <c r="B110" t="s">
        <v>26</v>
      </c>
      <c r="C110" t="s">
        <v>25</v>
      </c>
      <c r="D110">
        <v>327</v>
      </c>
      <c r="E110">
        <v>65.400000000000006</v>
      </c>
      <c r="F110" t="s">
        <v>57</v>
      </c>
      <c r="G110" t="s">
        <v>51</v>
      </c>
      <c r="H110" t="s">
        <v>38</v>
      </c>
      <c r="I110">
        <v>69</v>
      </c>
    </row>
    <row r="111" spans="1:9" x14ac:dyDescent="0.25">
      <c r="A111">
        <v>122</v>
      </c>
      <c r="B111" t="s">
        <v>26</v>
      </c>
      <c r="C111" t="s">
        <v>25</v>
      </c>
      <c r="D111">
        <v>327</v>
      </c>
      <c r="E111">
        <v>65.400000000000006</v>
      </c>
      <c r="F111" t="s">
        <v>57</v>
      </c>
      <c r="G111" t="s">
        <v>51</v>
      </c>
      <c r="H111" t="s">
        <v>39</v>
      </c>
      <c r="I111">
        <v>65</v>
      </c>
    </row>
    <row r="112" spans="1:9" x14ac:dyDescent="0.25">
      <c r="A112">
        <v>123</v>
      </c>
      <c r="B112" t="s">
        <v>27</v>
      </c>
      <c r="C112" t="s">
        <v>25</v>
      </c>
      <c r="D112">
        <v>237</v>
      </c>
      <c r="E112">
        <v>47.4</v>
      </c>
      <c r="F112" t="s">
        <v>55</v>
      </c>
      <c r="G112" t="s">
        <v>56</v>
      </c>
      <c r="H112" t="s">
        <v>36</v>
      </c>
      <c r="I112">
        <v>48</v>
      </c>
    </row>
    <row r="113" spans="1:9" x14ac:dyDescent="0.25">
      <c r="A113">
        <v>123</v>
      </c>
      <c r="B113" t="s">
        <v>27</v>
      </c>
      <c r="C113" t="s">
        <v>25</v>
      </c>
      <c r="D113">
        <v>237</v>
      </c>
      <c r="E113">
        <v>47.4</v>
      </c>
      <c r="F113" t="s">
        <v>55</v>
      </c>
      <c r="G113" t="s">
        <v>56</v>
      </c>
      <c r="H113" t="s">
        <v>37</v>
      </c>
      <c r="I113">
        <v>45</v>
      </c>
    </row>
    <row r="114" spans="1:9" x14ac:dyDescent="0.25">
      <c r="A114">
        <v>123</v>
      </c>
      <c r="B114" t="s">
        <v>27</v>
      </c>
      <c r="C114" t="s">
        <v>25</v>
      </c>
      <c r="D114">
        <v>237</v>
      </c>
      <c r="E114">
        <v>47.4</v>
      </c>
      <c r="F114" t="s">
        <v>55</v>
      </c>
      <c r="G114" t="s">
        <v>56</v>
      </c>
      <c r="H114" t="s">
        <v>40</v>
      </c>
      <c r="I114">
        <v>51</v>
      </c>
    </row>
    <row r="115" spans="1:9" x14ac:dyDescent="0.25">
      <c r="A115">
        <v>123</v>
      </c>
      <c r="B115" t="s">
        <v>27</v>
      </c>
      <c r="C115" t="s">
        <v>25</v>
      </c>
      <c r="D115">
        <v>237</v>
      </c>
      <c r="E115">
        <v>47.4</v>
      </c>
      <c r="F115" t="s">
        <v>55</v>
      </c>
      <c r="G115" t="s">
        <v>56</v>
      </c>
      <c r="H115" t="s">
        <v>38</v>
      </c>
      <c r="I115">
        <v>43</v>
      </c>
    </row>
    <row r="116" spans="1:9" x14ac:dyDescent="0.25">
      <c r="A116">
        <v>123</v>
      </c>
      <c r="B116" t="s">
        <v>27</v>
      </c>
      <c r="C116" t="s">
        <v>25</v>
      </c>
      <c r="D116">
        <v>237</v>
      </c>
      <c r="E116">
        <v>47.4</v>
      </c>
      <c r="F116" t="s">
        <v>55</v>
      </c>
      <c r="G116" t="s">
        <v>56</v>
      </c>
      <c r="H116" t="s">
        <v>39</v>
      </c>
      <c r="I116">
        <v>50</v>
      </c>
    </row>
    <row r="117" spans="1:9" x14ac:dyDescent="0.25">
      <c r="A117">
        <v>124</v>
      </c>
      <c r="B117" t="s">
        <v>28</v>
      </c>
      <c r="C117" t="s">
        <v>25</v>
      </c>
      <c r="D117">
        <v>471</v>
      </c>
      <c r="E117">
        <v>94.199999999999989</v>
      </c>
      <c r="F117" t="s">
        <v>52</v>
      </c>
      <c r="G117" t="s">
        <v>51</v>
      </c>
      <c r="H117" t="s">
        <v>36</v>
      </c>
      <c r="I117">
        <v>93</v>
      </c>
    </row>
    <row r="118" spans="1:9" x14ac:dyDescent="0.25">
      <c r="A118">
        <v>124</v>
      </c>
      <c r="B118" t="s">
        <v>28</v>
      </c>
      <c r="C118" t="s">
        <v>25</v>
      </c>
      <c r="D118">
        <v>471</v>
      </c>
      <c r="E118">
        <v>94.199999999999989</v>
      </c>
      <c r="F118" t="s">
        <v>52</v>
      </c>
      <c r="G118" t="s">
        <v>51</v>
      </c>
      <c r="H118" t="s">
        <v>37</v>
      </c>
      <c r="I118">
        <v>96</v>
      </c>
    </row>
    <row r="119" spans="1:9" x14ac:dyDescent="0.25">
      <c r="A119">
        <v>124</v>
      </c>
      <c r="B119" t="s">
        <v>28</v>
      </c>
      <c r="C119" t="s">
        <v>25</v>
      </c>
      <c r="D119">
        <v>471</v>
      </c>
      <c r="E119">
        <v>94.199999999999989</v>
      </c>
      <c r="F119" t="s">
        <v>52</v>
      </c>
      <c r="G119" t="s">
        <v>51</v>
      </c>
      <c r="H119" t="s">
        <v>40</v>
      </c>
      <c r="I119">
        <v>91</v>
      </c>
    </row>
    <row r="120" spans="1:9" x14ac:dyDescent="0.25">
      <c r="A120">
        <v>124</v>
      </c>
      <c r="B120" t="s">
        <v>28</v>
      </c>
      <c r="C120" t="s">
        <v>25</v>
      </c>
      <c r="D120">
        <v>471</v>
      </c>
      <c r="E120">
        <v>94.199999999999989</v>
      </c>
      <c r="F120" t="s">
        <v>52</v>
      </c>
      <c r="G120" t="s">
        <v>51</v>
      </c>
      <c r="H120" t="s">
        <v>38</v>
      </c>
      <c r="I120">
        <v>94</v>
      </c>
    </row>
    <row r="121" spans="1:9" x14ac:dyDescent="0.25">
      <c r="A121">
        <v>124</v>
      </c>
      <c r="B121" t="s">
        <v>28</v>
      </c>
      <c r="C121" t="s">
        <v>25</v>
      </c>
      <c r="D121">
        <v>471</v>
      </c>
      <c r="E121">
        <v>94.199999999999989</v>
      </c>
      <c r="F121" t="s">
        <v>52</v>
      </c>
      <c r="G121" t="s">
        <v>51</v>
      </c>
      <c r="H121" t="s">
        <v>39</v>
      </c>
      <c r="I121">
        <v>97</v>
      </c>
    </row>
    <row r="122" spans="1:9" x14ac:dyDescent="0.25">
      <c r="A122">
        <v>125</v>
      </c>
      <c r="B122" t="s">
        <v>29</v>
      </c>
      <c r="C122" t="s">
        <v>25</v>
      </c>
      <c r="D122">
        <v>296</v>
      </c>
      <c r="E122">
        <v>59.199999999999996</v>
      </c>
      <c r="F122" t="s">
        <v>54</v>
      </c>
      <c r="G122" t="s">
        <v>51</v>
      </c>
      <c r="H122" t="s">
        <v>36</v>
      </c>
      <c r="I122">
        <v>57</v>
      </c>
    </row>
    <row r="123" spans="1:9" x14ac:dyDescent="0.25">
      <c r="A123">
        <v>125</v>
      </c>
      <c r="B123" t="s">
        <v>29</v>
      </c>
      <c r="C123" t="s">
        <v>25</v>
      </c>
      <c r="D123">
        <v>296</v>
      </c>
      <c r="E123">
        <v>59.199999999999996</v>
      </c>
      <c r="F123" t="s">
        <v>54</v>
      </c>
      <c r="G123" t="s">
        <v>51</v>
      </c>
      <c r="H123" t="s">
        <v>37</v>
      </c>
      <c r="I123">
        <v>63</v>
      </c>
    </row>
    <row r="124" spans="1:9" x14ac:dyDescent="0.25">
      <c r="A124">
        <v>125</v>
      </c>
      <c r="B124" t="s">
        <v>29</v>
      </c>
      <c r="C124" t="s">
        <v>25</v>
      </c>
      <c r="D124">
        <v>296</v>
      </c>
      <c r="E124">
        <v>59.199999999999996</v>
      </c>
      <c r="F124" t="s">
        <v>54</v>
      </c>
      <c r="G124" t="s">
        <v>51</v>
      </c>
      <c r="H124" t="s">
        <v>40</v>
      </c>
      <c r="I124">
        <v>59</v>
      </c>
    </row>
    <row r="125" spans="1:9" x14ac:dyDescent="0.25">
      <c r="A125">
        <v>125</v>
      </c>
      <c r="B125" t="s">
        <v>29</v>
      </c>
      <c r="C125" t="s">
        <v>25</v>
      </c>
      <c r="D125">
        <v>296</v>
      </c>
      <c r="E125">
        <v>59.199999999999996</v>
      </c>
      <c r="F125" t="s">
        <v>54</v>
      </c>
      <c r="G125" t="s">
        <v>51</v>
      </c>
      <c r="H125" t="s">
        <v>38</v>
      </c>
      <c r="I125">
        <v>61</v>
      </c>
    </row>
    <row r="126" spans="1:9" x14ac:dyDescent="0.25">
      <c r="A126">
        <v>125</v>
      </c>
      <c r="B126" t="s">
        <v>29</v>
      </c>
      <c r="C126" t="s">
        <v>25</v>
      </c>
      <c r="D126">
        <v>296</v>
      </c>
      <c r="E126">
        <v>59.199999999999996</v>
      </c>
      <c r="F126" t="s">
        <v>54</v>
      </c>
      <c r="G126" t="s">
        <v>51</v>
      </c>
      <c r="H126" t="s">
        <v>39</v>
      </c>
      <c r="I126">
        <v>56</v>
      </c>
    </row>
    <row r="127" spans="1:9" x14ac:dyDescent="0.25">
      <c r="A127">
        <v>126</v>
      </c>
      <c r="B127" t="s">
        <v>30</v>
      </c>
      <c r="C127" t="s">
        <v>25</v>
      </c>
      <c r="D127">
        <v>431</v>
      </c>
      <c r="E127">
        <v>86.2</v>
      </c>
      <c r="F127" t="s">
        <v>50</v>
      </c>
      <c r="G127" t="s">
        <v>51</v>
      </c>
      <c r="H127" t="s">
        <v>36</v>
      </c>
      <c r="I127">
        <v>85</v>
      </c>
    </row>
    <row r="128" spans="1:9" x14ac:dyDescent="0.25">
      <c r="A128">
        <v>126</v>
      </c>
      <c r="B128" t="s">
        <v>30</v>
      </c>
      <c r="C128" t="s">
        <v>25</v>
      </c>
      <c r="D128">
        <v>431</v>
      </c>
      <c r="E128">
        <v>86.2</v>
      </c>
      <c r="F128" t="s">
        <v>50</v>
      </c>
      <c r="G128" t="s">
        <v>51</v>
      </c>
      <c r="H128" t="s">
        <v>37</v>
      </c>
      <c r="I128">
        <v>88</v>
      </c>
    </row>
    <row r="129" spans="1:9" x14ac:dyDescent="0.25">
      <c r="A129">
        <v>126</v>
      </c>
      <c r="B129" t="s">
        <v>30</v>
      </c>
      <c r="C129" t="s">
        <v>25</v>
      </c>
      <c r="D129">
        <v>431</v>
      </c>
      <c r="E129">
        <v>86.2</v>
      </c>
      <c r="F129" t="s">
        <v>50</v>
      </c>
      <c r="G129" t="s">
        <v>51</v>
      </c>
      <c r="H129" t="s">
        <v>40</v>
      </c>
      <c r="I129">
        <v>82</v>
      </c>
    </row>
    <row r="130" spans="1:9" x14ac:dyDescent="0.25">
      <c r="A130">
        <v>126</v>
      </c>
      <c r="B130" t="s">
        <v>30</v>
      </c>
      <c r="C130" t="s">
        <v>25</v>
      </c>
      <c r="D130">
        <v>431</v>
      </c>
      <c r="E130">
        <v>86.2</v>
      </c>
      <c r="F130" t="s">
        <v>50</v>
      </c>
      <c r="G130" t="s">
        <v>51</v>
      </c>
      <c r="H130" t="s">
        <v>38</v>
      </c>
      <c r="I130">
        <v>90</v>
      </c>
    </row>
    <row r="131" spans="1:9" x14ac:dyDescent="0.25">
      <c r="A131">
        <v>126</v>
      </c>
      <c r="B131" t="s">
        <v>30</v>
      </c>
      <c r="C131" t="s">
        <v>25</v>
      </c>
      <c r="D131">
        <v>431</v>
      </c>
      <c r="E131">
        <v>86.2</v>
      </c>
      <c r="F131" t="s">
        <v>50</v>
      </c>
      <c r="G131" t="s">
        <v>51</v>
      </c>
      <c r="H131" t="s">
        <v>39</v>
      </c>
      <c r="I131">
        <v>86</v>
      </c>
    </row>
    <row r="132" spans="1:9" x14ac:dyDescent="0.25">
      <c r="A132">
        <v>127</v>
      </c>
      <c r="B132" t="s">
        <v>31</v>
      </c>
      <c r="C132" t="s">
        <v>25</v>
      </c>
      <c r="D132">
        <v>177</v>
      </c>
      <c r="E132">
        <v>35.4</v>
      </c>
      <c r="F132" t="s">
        <v>55</v>
      </c>
      <c r="G132" t="s">
        <v>56</v>
      </c>
      <c r="H132" t="s">
        <v>36</v>
      </c>
      <c r="I132">
        <v>34</v>
      </c>
    </row>
    <row r="133" spans="1:9" x14ac:dyDescent="0.25">
      <c r="A133">
        <v>127</v>
      </c>
      <c r="B133" t="s">
        <v>31</v>
      </c>
      <c r="C133" t="s">
        <v>25</v>
      </c>
      <c r="D133">
        <v>177</v>
      </c>
      <c r="E133">
        <v>35.4</v>
      </c>
      <c r="F133" t="s">
        <v>55</v>
      </c>
      <c r="G133" t="s">
        <v>56</v>
      </c>
      <c r="H133" t="s">
        <v>37</v>
      </c>
      <c r="I133">
        <v>31</v>
      </c>
    </row>
    <row r="134" spans="1:9" x14ac:dyDescent="0.25">
      <c r="A134">
        <v>127</v>
      </c>
      <c r="B134" t="s">
        <v>31</v>
      </c>
      <c r="C134" t="s">
        <v>25</v>
      </c>
      <c r="D134">
        <v>177</v>
      </c>
      <c r="E134">
        <v>35.4</v>
      </c>
      <c r="F134" t="s">
        <v>55</v>
      </c>
      <c r="G134" t="s">
        <v>56</v>
      </c>
      <c r="H134" t="s">
        <v>40</v>
      </c>
      <c r="I134">
        <v>43</v>
      </c>
    </row>
    <row r="135" spans="1:9" x14ac:dyDescent="0.25">
      <c r="A135">
        <v>127</v>
      </c>
      <c r="B135" t="s">
        <v>31</v>
      </c>
      <c r="C135" t="s">
        <v>25</v>
      </c>
      <c r="D135">
        <v>177</v>
      </c>
      <c r="E135">
        <v>35.4</v>
      </c>
      <c r="F135" t="s">
        <v>55</v>
      </c>
      <c r="G135" t="s">
        <v>56</v>
      </c>
      <c r="H135" t="s">
        <v>38</v>
      </c>
      <c r="I135">
        <v>36</v>
      </c>
    </row>
    <row r="136" spans="1:9" x14ac:dyDescent="0.25">
      <c r="A136">
        <v>127</v>
      </c>
      <c r="B136" t="s">
        <v>31</v>
      </c>
      <c r="C136" t="s">
        <v>25</v>
      </c>
      <c r="D136">
        <v>177</v>
      </c>
      <c r="E136">
        <v>35.4</v>
      </c>
      <c r="F136" t="s">
        <v>55</v>
      </c>
      <c r="G136" t="s">
        <v>56</v>
      </c>
      <c r="H136" t="s">
        <v>39</v>
      </c>
      <c r="I136">
        <v>33</v>
      </c>
    </row>
    <row r="137" spans="1:9" x14ac:dyDescent="0.25">
      <c r="A137">
        <v>128</v>
      </c>
      <c r="B137" t="s">
        <v>32</v>
      </c>
      <c r="C137" t="s">
        <v>25</v>
      </c>
      <c r="D137">
        <v>380</v>
      </c>
      <c r="E137">
        <v>76</v>
      </c>
      <c r="F137" t="s">
        <v>53</v>
      </c>
      <c r="G137" t="s">
        <v>51</v>
      </c>
      <c r="H137" t="s">
        <v>36</v>
      </c>
      <c r="I137">
        <v>72</v>
      </c>
    </row>
    <row r="138" spans="1:9" x14ac:dyDescent="0.25">
      <c r="A138">
        <v>128</v>
      </c>
      <c r="B138" t="s">
        <v>32</v>
      </c>
      <c r="C138" t="s">
        <v>25</v>
      </c>
      <c r="D138">
        <v>380</v>
      </c>
      <c r="E138">
        <v>76</v>
      </c>
      <c r="F138" t="s">
        <v>53</v>
      </c>
      <c r="G138" t="s">
        <v>51</v>
      </c>
      <c r="H138" t="s">
        <v>37</v>
      </c>
      <c r="I138">
        <v>78</v>
      </c>
    </row>
    <row r="139" spans="1:9" x14ac:dyDescent="0.25">
      <c r="A139">
        <v>128</v>
      </c>
      <c r="B139" t="s">
        <v>32</v>
      </c>
      <c r="C139" t="s">
        <v>25</v>
      </c>
      <c r="D139">
        <v>380</v>
      </c>
      <c r="E139">
        <v>76</v>
      </c>
      <c r="F139" t="s">
        <v>53</v>
      </c>
      <c r="G139" t="s">
        <v>51</v>
      </c>
      <c r="H139" t="s">
        <v>40</v>
      </c>
      <c r="I139">
        <v>74</v>
      </c>
    </row>
    <row r="140" spans="1:9" x14ac:dyDescent="0.25">
      <c r="A140">
        <v>128</v>
      </c>
      <c r="B140" t="s">
        <v>32</v>
      </c>
      <c r="C140" t="s">
        <v>25</v>
      </c>
      <c r="D140">
        <v>380</v>
      </c>
      <c r="E140">
        <v>76</v>
      </c>
      <c r="F140" t="s">
        <v>53</v>
      </c>
      <c r="G140" t="s">
        <v>51</v>
      </c>
      <c r="H140" t="s">
        <v>38</v>
      </c>
      <c r="I140">
        <v>80</v>
      </c>
    </row>
    <row r="141" spans="1:9" x14ac:dyDescent="0.25">
      <c r="A141">
        <v>128</v>
      </c>
      <c r="B141" t="s">
        <v>32</v>
      </c>
      <c r="C141" t="s">
        <v>25</v>
      </c>
      <c r="D141">
        <v>380</v>
      </c>
      <c r="E141">
        <v>76</v>
      </c>
      <c r="F141" t="s">
        <v>53</v>
      </c>
      <c r="G141" t="s">
        <v>51</v>
      </c>
      <c r="H141" t="s">
        <v>39</v>
      </c>
      <c r="I141">
        <v>76</v>
      </c>
    </row>
    <row r="142" spans="1:9" x14ac:dyDescent="0.25">
      <c r="A142">
        <v>129</v>
      </c>
      <c r="B142" t="s">
        <v>33</v>
      </c>
      <c r="C142" t="s">
        <v>25</v>
      </c>
      <c r="D142">
        <v>348</v>
      </c>
      <c r="E142">
        <v>69.599999999999994</v>
      </c>
      <c r="F142" t="s">
        <v>57</v>
      </c>
      <c r="G142" t="s">
        <v>51</v>
      </c>
      <c r="H142" t="s">
        <v>36</v>
      </c>
      <c r="I142">
        <v>66</v>
      </c>
    </row>
    <row r="143" spans="1:9" x14ac:dyDescent="0.25">
      <c r="A143">
        <v>129</v>
      </c>
      <c r="B143" t="s">
        <v>33</v>
      </c>
      <c r="C143" t="s">
        <v>25</v>
      </c>
      <c r="D143">
        <v>348</v>
      </c>
      <c r="E143">
        <v>69.599999999999994</v>
      </c>
      <c r="F143" t="s">
        <v>57</v>
      </c>
      <c r="G143" t="s">
        <v>51</v>
      </c>
      <c r="H143" t="s">
        <v>37</v>
      </c>
      <c r="I143">
        <v>71</v>
      </c>
    </row>
    <row r="144" spans="1:9" x14ac:dyDescent="0.25">
      <c r="A144">
        <v>129</v>
      </c>
      <c r="B144" t="s">
        <v>33</v>
      </c>
      <c r="C144" t="s">
        <v>25</v>
      </c>
      <c r="D144">
        <v>348</v>
      </c>
      <c r="E144">
        <v>69.599999999999994</v>
      </c>
      <c r="F144" t="s">
        <v>57</v>
      </c>
      <c r="G144" t="s">
        <v>51</v>
      </c>
      <c r="H144" t="s">
        <v>40</v>
      </c>
      <c r="I144">
        <v>68</v>
      </c>
    </row>
    <row r="145" spans="1:9" x14ac:dyDescent="0.25">
      <c r="A145">
        <v>129</v>
      </c>
      <c r="B145" t="s">
        <v>33</v>
      </c>
      <c r="C145" t="s">
        <v>25</v>
      </c>
      <c r="D145">
        <v>348</v>
      </c>
      <c r="E145">
        <v>69.599999999999994</v>
      </c>
      <c r="F145" t="s">
        <v>57</v>
      </c>
      <c r="G145" t="s">
        <v>51</v>
      </c>
      <c r="H145" t="s">
        <v>38</v>
      </c>
      <c r="I145">
        <v>73</v>
      </c>
    </row>
    <row r="146" spans="1:9" x14ac:dyDescent="0.25">
      <c r="A146">
        <v>129</v>
      </c>
      <c r="B146" t="s">
        <v>33</v>
      </c>
      <c r="C146" t="s">
        <v>25</v>
      </c>
      <c r="D146">
        <v>348</v>
      </c>
      <c r="E146">
        <v>69.599999999999994</v>
      </c>
      <c r="F146" t="s">
        <v>57</v>
      </c>
      <c r="G146" t="s">
        <v>51</v>
      </c>
      <c r="H146" t="s">
        <v>39</v>
      </c>
      <c r="I146">
        <v>70</v>
      </c>
    </row>
    <row r="147" spans="1:9" x14ac:dyDescent="0.25">
      <c r="A147">
        <v>130</v>
      </c>
      <c r="B147" t="s">
        <v>34</v>
      </c>
      <c r="C147" t="s">
        <v>25</v>
      </c>
      <c r="D147">
        <v>482</v>
      </c>
      <c r="E147">
        <v>96.399999999999991</v>
      </c>
      <c r="F147" t="s">
        <v>52</v>
      </c>
      <c r="G147" t="s">
        <v>51</v>
      </c>
      <c r="H147" t="s">
        <v>36</v>
      </c>
      <c r="I147">
        <v>98</v>
      </c>
    </row>
    <row r="148" spans="1:9" x14ac:dyDescent="0.25">
      <c r="A148">
        <v>130</v>
      </c>
      <c r="B148" t="s">
        <v>34</v>
      </c>
      <c r="C148" t="s">
        <v>25</v>
      </c>
      <c r="D148">
        <v>482</v>
      </c>
      <c r="E148">
        <v>96.399999999999991</v>
      </c>
      <c r="F148" t="s">
        <v>52</v>
      </c>
      <c r="G148" t="s">
        <v>51</v>
      </c>
      <c r="H148" t="s">
        <v>37</v>
      </c>
      <c r="I148">
        <v>94</v>
      </c>
    </row>
    <row r="149" spans="1:9" x14ac:dyDescent="0.25">
      <c r="A149">
        <v>130</v>
      </c>
      <c r="B149" t="s">
        <v>34</v>
      </c>
      <c r="C149" t="s">
        <v>25</v>
      </c>
      <c r="D149">
        <v>482</v>
      </c>
      <c r="E149">
        <v>96.399999999999991</v>
      </c>
      <c r="F149" t="s">
        <v>52</v>
      </c>
      <c r="G149" t="s">
        <v>51</v>
      </c>
      <c r="H149" t="s">
        <v>40</v>
      </c>
      <c r="I149">
        <v>96</v>
      </c>
    </row>
    <row r="150" spans="1:9" x14ac:dyDescent="0.25">
      <c r="A150">
        <v>130</v>
      </c>
      <c r="B150" t="s">
        <v>34</v>
      </c>
      <c r="C150" t="s">
        <v>25</v>
      </c>
      <c r="D150">
        <v>482</v>
      </c>
      <c r="E150">
        <v>96.399999999999991</v>
      </c>
      <c r="F150" t="s">
        <v>52</v>
      </c>
      <c r="G150" t="s">
        <v>51</v>
      </c>
      <c r="H150" t="s">
        <v>38</v>
      </c>
      <c r="I150">
        <v>99</v>
      </c>
    </row>
    <row r="151" spans="1:9" x14ac:dyDescent="0.25">
      <c r="A151">
        <v>130</v>
      </c>
      <c r="B151" t="s">
        <v>34</v>
      </c>
      <c r="C151" t="s">
        <v>25</v>
      </c>
      <c r="D151">
        <v>482</v>
      </c>
      <c r="E151">
        <v>96.399999999999991</v>
      </c>
      <c r="F151" t="s">
        <v>52</v>
      </c>
      <c r="G151" t="s">
        <v>51</v>
      </c>
      <c r="H151" t="s">
        <v>39</v>
      </c>
      <c r="I151">
        <v>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1662-1C82-431C-9E36-086143EBDF9C}">
  <sheetPr>
    <tabColor theme="7" tint="0.59999389629810485"/>
  </sheetPr>
  <dimension ref="D2:H27"/>
  <sheetViews>
    <sheetView workbookViewId="0">
      <selection activeCell="K10" sqref="K10"/>
    </sheetView>
  </sheetViews>
  <sheetFormatPr defaultRowHeight="15" x14ac:dyDescent="0.25"/>
  <cols>
    <col min="3" max="3" width="8" customWidth="1"/>
    <col min="4" max="4" width="20.7109375" customWidth="1"/>
    <col min="5" max="5" width="22.140625" customWidth="1"/>
    <col min="7" max="7" width="20.140625" customWidth="1"/>
    <col min="8" max="8" width="23.42578125" bestFit="1" customWidth="1"/>
  </cols>
  <sheetData>
    <row r="2" spans="4:8" ht="18.75" x14ac:dyDescent="0.3">
      <c r="D2" s="30" t="s">
        <v>60</v>
      </c>
      <c r="E2" s="30"/>
      <c r="G2" s="31" t="s">
        <v>64</v>
      </c>
      <c r="H2" s="31"/>
    </row>
    <row r="3" spans="4:8" x14ac:dyDescent="0.25">
      <c r="D3" s="16" t="s">
        <v>45</v>
      </c>
      <c r="E3" s="17" t="s">
        <v>47</v>
      </c>
      <c r="G3" s="16" t="s">
        <v>45</v>
      </c>
      <c r="H3" s="17" t="s">
        <v>59</v>
      </c>
    </row>
    <row r="4" spans="4:8" x14ac:dyDescent="0.25">
      <c r="D4" s="17" t="s">
        <v>3</v>
      </c>
      <c r="E4" s="18">
        <v>69.2</v>
      </c>
      <c r="G4" s="17" t="s">
        <v>56</v>
      </c>
      <c r="H4" s="17">
        <v>5</v>
      </c>
    </row>
    <row r="5" spans="4:8" x14ac:dyDescent="0.25">
      <c r="D5" s="17" t="s">
        <v>14</v>
      </c>
      <c r="E5" s="18">
        <v>71.260000000000005</v>
      </c>
      <c r="G5" s="17" t="s">
        <v>51</v>
      </c>
      <c r="H5" s="17">
        <v>25</v>
      </c>
    </row>
    <row r="6" spans="4:8" x14ac:dyDescent="0.25">
      <c r="D6" s="17" t="s">
        <v>25</v>
      </c>
      <c r="E6" s="18">
        <v>70.94</v>
      </c>
      <c r="G6" s="17" t="s">
        <v>46</v>
      </c>
      <c r="H6" s="17">
        <v>30</v>
      </c>
    </row>
    <row r="7" spans="4:8" x14ac:dyDescent="0.25">
      <c r="D7" s="17" t="s">
        <v>46</v>
      </c>
      <c r="E7" s="18">
        <v>70.466666666666669</v>
      </c>
    </row>
    <row r="10" spans="4:8" ht="18.75" x14ac:dyDescent="0.3">
      <c r="D10" s="31" t="s">
        <v>61</v>
      </c>
      <c r="E10" s="31"/>
      <c r="G10" s="32" t="s">
        <v>63</v>
      </c>
      <c r="H10" s="32"/>
    </row>
    <row r="11" spans="4:8" x14ac:dyDescent="0.25">
      <c r="D11" s="16" t="s">
        <v>45</v>
      </c>
      <c r="E11" s="17" t="s">
        <v>58</v>
      </c>
      <c r="G11" s="27" t="s">
        <v>45</v>
      </c>
      <c r="H11" s="28" t="s">
        <v>47</v>
      </c>
    </row>
    <row r="12" spans="4:8" x14ac:dyDescent="0.25">
      <c r="D12" s="17" t="s">
        <v>39</v>
      </c>
      <c r="E12" s="18">
        <v>70.666666666666671</v>
      </c>
      <c r="G12" s="28" t="s">
        <v>34</v>
      </c>
      <c r="H12" s="29">
        <v>96.399999999999991</v>
      </c>
    </row>
    <row r="13" spans="4:8" x14ac:dyDescent="0.25">
      <c r="D13" s="17" t="s">
        <v>36</v>
      </c>
      <c r="E13" s="18">
        <v>68.666666666666671</v>
      </c>
      <c r="G13" s="28" t="s">
        <v>28</v>
      </c>
      <c r="H13" s="29">
        <v>94.199999999999989</v>
      </c>
    </row>
    <row r="14" spans="4:8" x14ac:dyDescent="0.25">
      <c r="D14" s="17" t="s">
        <v>40</v>
      </c>
      <c r="E14" s="18">
        <v>70.36666666666666</v>
      </c>
      <c r="G14" s="28" t="s">
        <v>17</v>
      </c>
      <c r="H14" s="29">
        <v>93</v>
      </c>
    </row>
    <row r="15" spans="4:8" x14ac:dyDescent="0.25">
      <c r="D15" s="17" t="s">
        <v>37</v>
      </c>
      <c r="E15" s="18">
        <v>70.466666666666669</v>
      </c>
      <c r="G15" s="28" t="s">
        <v>4</v>
      </c>
      <c r="H15" s="29">
        <v>91.4</v>
      </c>
    </row>
    <row r="16" spans="4:8" x14ac:dyDescent="0.25">
      <c r="D16" s="17" t="s">
        <v>38</v>
      </c>
      <c r="E16" s="18">
        <v>72.166666666666671</v>
      </c>
      <c r="G16" s="28" t="s">
        <v>23</v>
      </c>
      <c r="H16" s="29">
        <v>90</v>
      </c>
    </row>
    <row r="17" spans="4:5" x14ac:dyDescent="0.25">
      <c r="D17" s="17" t="s">
        <v>46</v>
      </c>
      <c r="E17" s="18">
        <v>70.466666666666669</v>
      </c>
    </row>
    <row r="19" spans="4:5" ht="18.75" x14ac:dyDescent="0.3">
      <c r="D19" s="31" t="s">
        <v>62</v>
      </c>
      <c r="E19" s="31"/>
    </row>
    <row r="20" spans="4:5" x14ac:dyDescent="0.25">
      <c r="D20" s="16" t="s">
        <v>45</v>
      </c>
      <c r="E20" s="17" t="s">
        <v>59</v>
      </c>
    </row>
    <row r="21" spans="4:5" x14ac:dyDescent="0.25">
      <c r="D21" s="17" t="s">
        <v>50</v>
      </c>
      <c r="E21" s="17">
        <v>5</v>
      </c>
    </row>
    <row r="22" spans="4:5" x14ac:dyDescent="0.25">
      <c r="D22" s="17" t="s">
        <v>52</v>
      </c>
      <c r="E22" s="17">
        <v>5</v>
      </c>
    </row>
    <row r="23" spans="4:5" x14ac:dyDescent="0.25">
      <c r="D23" s="17" t="s">
        <v>53</v>
      </c>
      <c r="E23" s="17">
        <v>6</v>
      </c>
    </row>
    <row r="24" spans="4:5" x14ac:dyDescent="0.25">
      <c r="D24" s="17" t="s">
        <v>57</v>
      </c>
      <c r="E24" s="17">
        <v>4</v>
      </c>
    </row>
    <row r="25" spans="4:5" x14ac:dyDescent="0.25">
      <c r="D25" s="17" t="s">
        <v>54</v>
      </c>
      <c r="E25" s="17">
        <v>5</v>
      </c>
    </row>
    <row r="26" spans="4:5" x14ac:dyDescent="0.25">
      <c r="D26" s="17" t="s">
        <v>55</v>
      </c>
      <c r="E26" s="17">
        <v>5</v>
      </c>
    </row>
    <row r="27" spans="4:5" x14ac:dyDescent="0.25">
      <c r="D27" s="17" t="s">
        <v>46</v>
      </c>
      <c r="E27" s="17">
        <v>30</v>
      </c>
    </row>
  </sheetData>
  <mergeCells count="5">
    <mergeCell ref="D2:E2"/>
    <mergeCell ref="D10:E10"/>
    <mergeCell ref="D19:E19"/>
    <mergeCell ref="G2:H2"/>
    <mergeCell ref="G10:H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431E-7030-40CD-993B-A9DB740A7E44}">
  <sheetPr>
    <tabColor theme="9" tint="0.59999389629810485"/>
  </sheetPr>
  <dimension ref="A1:M35"/>
  <sheetViews>
    <sheetView showGridLines="0" topLeftCell="A4" zoomScale="60" zoomScaleNormal="60" workbookViewId="0">
      <selection activeCell="M16" sqref="M16"/>
    </sheetView>
  </sheetViews>
  <sheetFormatPr defaultRowHeight="15" x14ac:dyDescent="0.25"/>
  <cols>
    <col min="1" max="1" width="25.7109375" customWidth="1"/>
    <col min="2" max="2" width="21.85546875" customWidth="1"/>
    <col min="3" max="3" width="12.85546875" customWidth="1"/>
    <col min="5" max="5" width="15.28515625" customWidth="1"/>
    <col min="6" max="6" width="10" customWidth="1"/>
    <col min="7" max="7" width="11.5703125" customWidth="1"/>
    <col min="8" max="8" width="11.28515625" customWidth="1"/>
    <col min="9" max="9" width="15.42578125" customWidth="1"/>
  </cols>
  <sheetData>
    <row r="1" spans="1:13" ht="15.75" x14ac:dyDescent="0.25">
      <c r="A1" s="19"/>
    </row>
    <row r="2" spans="1:13" x14ac:dyDescent="0.25">
      <c r="A2" s="17"/>
    </row>
    <row r="3" spans="1:13" ht="26.25" x14ac:dyDescent="0.4">
      <c r="C3" s="37" t="s">
        <v>65</v>
      </c>
      <c r="D3" s="38"/>
      <c r="E3" s="38"/>
      <c r="F3" s="38"/>
      <c r="G3" s="38"/>
      <c r="H3" s="38"/>
      <c r="I3" s="38"/>
      <c r="J3" s="39"/>
    </row>
    <row r="4" spans="1:13" x14ac:dyDescent="0.25">
      <c r="C4" s="40" t="s">
        <v>66</v>
      </c>
      <c r="D4" s="41"/>
      <c r="E4" s="41"/>
      <c r="F4" s="41"/>
      <c r="G4" s="41"/>
      <c r="H4" s="41"/>
      <c r="I4" s="41"/>
      <c r="J4" s="42"/>
    </row>
    <row r="5" spans="1:13" x14ac:dyDescent="0.25">
      <c r="C5" s="35" t="s">
        <v>67</v>
      </c>
      <c r="D5" s="35"/>
      <c r="E5" s="35" t="s">
        <v>68</v>
      </c>
      <c r="F5" s="35"/>
      <c r="G5" s="35" t="s">
        <v>69</v>
      </c>
      <c r="H5" s="35"/>
      <c r="I5" s="35" t="s">
        <v>70</v>
      </c>
      <c r="J5" s="35"/>
    </row>
    <row r="6" spans="1:13" ht="18.75" x14ac:dyDescent="0.3">
      <c r="C6" s="33">
        <f>COUNTA(Marksheet_Table[Roll No])</f>
        <v>30</v>
      </c>
      <c r="D6" s="33"/>
      <c r="E6" s="33">
        <f>COUNTIF(Marksheet_Table[Status],"Pass")</f>
        <v>25</v>
      </c>
      <c r="F6" s="33"/>
      <c r="G6" s="33">
        <f>COUNTIF(Marksheet_Table[Status],"Fail")</f>
        <v>5</v>
      </c>
      <c r="H6" s="33"/>
      <c r="I6" s="34">
        <f>AVERAGE(Marksheet_Table[Percentage %])</f>
        <v>70.466666666666669</v>
      </c>
      <c r="J6" s="34"/>
    </row>
    <row r="9" spans="1:13" x14ac:dyDescent="0.25">
      <c r="M9" s="17"/>
    </row>
    <row r="29" spans="3:10" ht="18.75" x14ac:dyDescent="0.3">
      <c r="C29" s="44" t="s">
        <v>71</v>
      </c>
      <c r="D29" s="45"/>
      <c r="E29" s="45"/>
      <c r="F29" s="45"/>
      <c r="G29" s="45"/>
      <c r="H29" s="45"/>
      <c r="I29" s="45"/>
      <c r="J29" s="45"/>
    </row>
    <row r="30" spans="3:10" x14ac:dyDescent="0.25">
      <c r="C30" s="43" t="s">
        <v>72</v>
      </c>
      <c r="D30" s="43"/>
      <c r="E30" s="43"/>
      <c r="F30" s="43"/>
      <c r="G30" s="43" t="s">
        <v>73</v>
      </c>
      <c r="H30" s="43"/>
      <c r="I30" s="43"/>
      <c r="J30" s="43"/>
    </row>
    <row r="31" spans="3:10" x14ac:dyDescent="0.25">
      <c r="C31" s="43" t="s">
        <v>34</v>
      </c>
      <c r="D31" s="43"/>
      <c r="E31" s="43"/>
      <c r="F31" s="43"/>
      <c r="G31" s="43">
        <v>96.399999999999991</v>
      </c>
      <c r="H31" s="43"/>
      <c r="I31" s="43"/>
      <c r="J31" s="43"/>
    </row>
    <row r="32" spans="3:10" x14ac:dyDescent="0.25">
      <c r="C32" s="43" t="s">
        <v>28</v>
      </c>
      <c r="D32" s="43"/>
      <c r="E32" s="43"/>
      <c r="F32" s="43"/>
      <c r="G32" s="43">
        <v>94.199999999999989</v>
      </c>
      <c r="H32" s="43"/>
      <c r="I32" s="43"/>
      <c r="J32" s="43"/>
    </row>
    <row r="33" spans="3:10" x14ac:dyDescent="0.25">
      <c r="C33" s="43" t="s">
        <v>17</v>
      </c>
      <c r="D33" s="43"/>
      <c r="E33" s="43"/>
      <c r="F33" s="43"/>
      <c r="G33" s="36">
        <v>93</v>
      </c>
      <c r="H33" s="36"/>
      <c r="I33" s="36"/>
      <c r="J33" s="36"/>
    </row>
    <row r="34" spans="3:10" x14ac:dyDescent="0.25">
      <c r="C34" s="43" t="s">
        <v>4</v>
      </c>
      <c r="D34" s="43"/>
      <c r="E34" s="43"/>
      <c r="F34" s="43"/>
      <c r="G34" s="36">
        <v>91.4</v>
      </c>
      <c r="H34" s="36"/>
      <c r="I34" s="36"/>
      <c r="J34" s="36"/>
    </row>
    <row r="35" spans="3:10" x14ac:dyDescent="0.25">
      <c r="C35" s="43" t="s">
        <v>23</v>
      </c>
      <c r="D35" s="43"/>
      <c r="E35" s="43"/>
      <c r="F35" s="43"/>
      <c r="G35" s="36">
        <v>90</v>
      </c>
      <c r="H35" s="36"/>
      <c r="I35" s="36"/>
      <c r="J35" s="36"/>
    </row>
  </sheetData>
  <mergeCells count="23">
    <mergeCell ref="G33:J33"/>
    <mergeCell ref="G34:J34"/>
    <mergeCell ref="G35:J35"/>
    <mergeCell ref="C3:J3"/>
    <mergeCell ref="C4:J4"/>
    <mergeCell ref="C33:F33"/>
    <mergeCell ref="C34:F34"/>
    <mergeCell ref="C35:F35"/>
    <mergeCell ref="G31:J31"/>
    <mergeCell ref="G32:J32"/>
    <mergeCell ref="C29:J29"/>
    <mergeCell ref="C30:F30"/>
    <mergeCell ref="C31:F31"/>
    <mergeCell ref="C32:F32"/>
    <mergeCell ref="G30:J30"/>
    <mergeCell ref="C6:D6"/>
    <mergeCell ref="E6:F6"/>
    <mergeCell ref="G6:H6"/>
    <mergeCell ref="I6:J6"/>
    <mergeCell ref="C5:D5"/>
    <mergeCell ref="E5:F5"/>
    <mergeCell ref="G5:H5"/>
    <mergeCell ref="I5: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B1BC-9CA7-4D22-B40D-B09F3FCC281A}">
  <sheetPr>
    <tabColor rgb="FFFF9999"/>
    <pageSetUpPr fitToPage="1"/>
  </sheetPr>
  <dimension ref="A1:F17"/>
  <sheetViews>
    <sheetView tabSelected="1" workbookViewId="0">
      <selection activeCell="I17" sqref="I17"/>
    </sheetView>
  </sheetViews>
  <sheetFormatPr defaultRowHeight="15" x14ac:dyDescent="0.25"/>
  <cols>
    <col min="1" max="1" width="34" customWidth="1"/>
    <col min="2" max="2" width="29.5703125" customWidth="1"/>
    <col min="3" max="3" width="9.140625" customWidth="1"/>
  </cols>
  <sheetData>
    <row r="1" spans="1:6" ht="12" customHeight="1" x14ac:dyDescent="0.25"/>
    <row r="3" spans="1:6" ht="21" customHeight="1" thickBot="1" x14ac:dyDescent="0.3">
      <c r="A3" s="46" t="s">
        <v>74</v>
      </c>
      <c r="B3" s="46"/>
    </row>
    <row r="4" spans="1:6" ht="15.75" thickBot="1" x14ac:dyDescent="0.3">
      <c r="A4" s="24" t="s">
        <v>75</v>
      </c>
      <c r="B4" s="25">
        <v>130</v>
      </c>
    </row>
    <row r="5" spans="1:6" x14ac:dyDescent="0.25">
      <c r="A5" s="47"/>
      <c r="B5" s="48"/>
    </row>
    <row r="6" spans="1:6" x14ac:dyDescent="0.25">
      <c r="A6" s="26" t="s">
        <v>0</v>
      </c>
      <c r="B6" s="2">
        <f>B4</f>
        <v>130</v>
      </c>
      <c r="E6" s="21"/>
    </row>
    <row r="7" spans="1:6" x14ac:dyDescent="0.25">
      <c r="A7" s="26" t="s">
        <v>1</v>
      </c>
      <c r="B7" s="2" t="str">
        <f>VLOOKUP(B4,Marksheet_Table[#All],2,FALSE)</f>
        <v>Meera Sharma</v>
      </c>
      <c r="E7" s="20"/>
      <c r="F7" s="21"/>
    </row>
    <row r="8" spans="1:6" x14ac:dyDescent="0.25">
      <c r="A8" s="26" t="s">
        <v>76</v>
      </c>
      <c r="B8" s="2" t="str">
        <f>VLOOKUP(B4,Marksheet_Table[#All],3,FALSE)</f>
        <v>BBA-3</v>
      </c>
      <c r="E8" s="20"/>
      <c r="F8" s="21"/>
    </row>
    <row r="9" spans="1:6" x14ac:dyDescent="0.25">
      <c r="A9" s="26" t="s">
        <v>36</v>
      </c>
      <c r="B9" s="2">
        <f>VLOOKUP(B4,Marksheet_Table[#All],4,FALSE)</f>
        <v>98</v>
      </c>
      <c r="E9" s="20"/>
      <c r="F9" s="21"/>
    </row>
    <row r="10" spans="1:6" x14ac:dyDescent="0.25">
      <c r="A10" s="26" t="s">
        <v>37</v>
      </c>
      <c r="B10" s="2">
        <f>VLOOKUP(B4,Marksheet_Table[#All],5,FALSE)</f>
        <v>94</v>
      </c>
      <c r="E10" s="20"/>
      <c r="F10" s="21"/>
    </row>
    <row r="11" spans="1:6" x14ac:dyDescent="0.25">
      <c r="A11" s="26" t="s">
        <v>40</v>
      </c>
      <c r="B11" s="2">
        <f>VLOOKUP(B4,Marksheet_Table[#All],6,FALSE)</f>
        <v>96</v>
      </c>
      <c r="E11" s="20"/>
      <c r="F11" s="21"/>
    </row>
    <row r="12" spans="1:6" x14ac:dyDescent="0.25">
      <c r="A12" s="26" t="s">
        <v>38</v>
      </c>
      <c r="B12" s="2">
        <f>VLOOKUP(B4,Marksheet_Table[#All],7,FALSE)</f>
        <v>99</v>
      </c>
      <c r="E12" s="20"/>
      <c r="F12" s="21"/>
    </row>
    <row r="13" spans="1:6" x14ac:dyDescent="0.25">
      <c r="A13" s="26" t="s">
        <v>39</v>
      </c>
      <c r="B13" s="2">
        <f>VLOOKUP(B4,Marksheet_Table[#All],8,FALSE)</f>
        <v>95</v>
      </c>
      <c r="E13" s="20"/>
      <c r="F13" s="21"/>
    </row>
    <row r="14" spans="1:6" x14ac:dyDescent="0.25">
      <c r="A14" s="26" t="s">
        <v>77</v>
      </c>
      <c r="B14" s="2">
        <f>VLOOKUP(B4,Marksheet_Table[#All],9,FALSE)</f>
        <v>482</v>
      </c>
      <c r="D14" s="15"/>
      <c r="E14" s="20"/>
      <c r="F14" s="21"/>
    </row>
    <row r="15" spans="1:6" x14ac:dyDescent="0.25">
      <c r="A15" s="26" t="s">
        <v>44</v>
      </c>
      <c r="B15" s="2">
        <f>VLOOKUP(B4,Marksheet_Table[#All],10,FALSE)</f>
        <v>96.399999999999991</v>
      </c>
      <c r="E15" s="20"/>
      <c r="F15" s="21"/>
    </row>
    <row r="16" spans="1:6" x14ac:dyDescent="0.25">
      <c r="A16" s="26" t="s">
        <v>42</v>
      </c>
      <c r="B16" s="1" t="str">
        <f>VLOOKUP(B4,Marksheet_Table[#All],11,FALSE)</f>
        <v>A+</v>
      </c>
      <c r="F16" s="21"/>
    </row>
    <row r="17" spans="1:2" x14ac:dyDescent="0.25">
      <c r="A17" s="26" t="s">
        <v>43</v>
      </c>
      <c r="B17" s="1" t="str">
        <f>VLOOKUP(B4,Marksheet_Table[#All],12,FALSE)</f>
        <v>Pass</v>
      </c>
    </row>
  </sheetData>
  <mergeCells count="2">
    <mergeCell ref="A3:B3"/>
    <mergeCell ref="A5:B5"/>
  </mergeCells>
  <conditionalFormatting sqref="B16">
    <cfRule type="cellIs" dxfId="7" priority="3" operator="equal">
      <formula>"A+"</formula>
    </cfRule>
    <cfRule type="containsText" dxfId="6" priority="4" operator="containsText" text="F">
      <formula>NOT(ISERROR(SEARCH("F",B16)))</formula>
    </cfRule>
    <cfRule type="containsText" dxfId="5" priority="5" operator="containsText" text="D">
      <formula>NOT(ISERROR(SEARCH("D",B16)))</formula>
    </cfRule>
    <cfRule type="containsText" dxfId="4" priority="6" operator="containsText" text="C">
      <formula>NOT(ISERROR(SEARCH("C",B16)))</formula>
    </cfRule>
    <cfRule type="containsText" dxfId="3" priority="7" operator="containsText" text="B">
      <formula>NOT(ISERROR(SEARCH("B",B16)))</formula>
    </cfRule>
    <cfRule type="containsText" dxfId="2" priority="8" operator="containsText" text="A">
      <formula>NOT(ISERROR(SEARCH("A",B16)))</formula>
    </cfRule>
  </conditionalFormatting>
  <conditionalFormatting sqref="B17">
    <cfRule type="cellIs" dxfId="1" priority="1" operator="equal">
      <formula>"FAil"</formula>
    </cfRule>
    <cfRule type="cellIs" dxfId="0" priority="2" operator="equal">
      <formula>"PAss"</formula>
    </cfRule>
  </conditionalFormatting>
  <printOptions verticalCentered="1"/>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16E7AA2-C884-495A-B116-2594C0F9890D}">
          <x14:formula1>
            <xm:f>'Formula Creation'!$F$4:$F$33</xm:f>
          </x14:formula1>
          <xm:sqref>B4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422187-10FA-41B4-A54D-01571EC3A4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Marks Data</vt:lpstr>
      <vt:lpstr>Formula Creation</vt:lpstr>
      <vt:lpstr>Analysis Data</vt:lpstr>
      <vt:lpstr>Pivot Summary</vt:lpstr>
      <vt:lpstr>Dashboard</vt:lpstr>
      <vt:lpstr> Printable Marksheet</vt:lpstr>
      <vt:lpstr>' Printable Marksheet'!Print_Area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Ashalan Ahamed Ashrafi</dc:creator>
  <cp:lastModifiedBy>Ashalan Ahamed Ashrafi</cp:lastModifiedBy>
  <cp:lastPrinted>2026-08-12T13:31:37Z</cp:lastPrinted>
  <dcterms:created xsi:type="dcterms:W3CDTF">2026-08-10T13:42:00Z</dcterms:created>
  <dcterms:modified xsi:type="dcterms:W3CDTF">2026-08-19T13:29:59Z</dcterms:modified>
</cp:coreProperties>
</file>